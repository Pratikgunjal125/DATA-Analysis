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3A2BDD26-D9D9-4D23-87D4-4E1EB4363FE2}" xr6:coauthVersionLast="47" xr6:coauthVersionMax="47" xr10:uidLastSave="{00000000-0000-0000-0000-000000000000}"/>
  <bookViews>
    <workbookView xWindow="-108" yWindow="-108" windowWidth="23256" windowHeight="12456" xr2:uid="{00000000-000D-0000-FFFF-FFFF00000000}"/>
  </bookViews>
  <sheets>
    <sheet name="report" sheetId="2" r:id="rId1"/>
    <sheet name="Tips Data (Raw)" sheetId="1" r:id="rId2"/>
  </sheets>
  <definedNames>
    <definedName name="Slicer_Car_No">#N/A</definedName>
    <definedName name="Slicer_Place">#N/A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alcChain>
</file>

<file path=xl/sharedStrings.xml><?xml version="1.0" encoding="utf-8"?>
<sst xmlns="http://schemas.openxmlformats.org/spreadsheetml/2006/main" count="2422" uniqueCount="63">
  <si>
    <t>Trip Date</t>
  </si>
  <si>
    <t>Car No</t>
  </si>
  <si>
    <t>Driver</t>
  </si>
  <si>
    <t>Gross Fare</t>
  </si>
  <si>
    <t>Rapido Fee</t>
  </si>
  <si>
    <t>Net Earnings</t>
  </si>
  <si>
    <t>Fuel Cost</t>
  </si>
  <si>
    <t>Rating</t>
  </si>
  <si>
    <t>City</t>
  </si>
  <si>
    <t>Place</t>
  </si>
  <si>
    <t>Trips</t>
  </si>
  <si>
    <t>DL10UV7890</t>
  </si>
  <si>
    <t>Rohit</t>
  </si>
  <si>
    <t>Delhi</t>
  </si>
  <si>
    <t>Gurgaon</t>
  </si>
  <si>
    <t>DL03EF9012</t>
  </si>
  <si>
    <t>Suresh</t>
  </si>
  <si>
    <t>Rajouri Garden</t>
  </si>
  <si>
    <t>DL08QR9012</t>
  </si>
  <si>
    <t>Anil</t>
  </si>
  <si>
    <t>Noida</t>
  </si>
  <si>
    <t>DL01AB1234</t>
  </si>
  <si>
    <t>Amit</t>
  </si>
  <si>
    <t>Sector 62</t>
  </si>
  <si>
    <t>DL06LM1234</t>
  </si>
  <si>
    <t>Vikas</t>
  </si>
  <si>
    <t>Connaught Place</t>
  </si>
  <si>
    <t>DL11WX1234</t>
  </si>
  <si>
    <t>Sunil</t>
  </si>
  <si>
    <t>Greater Noida</t>
  </si>
  <si>
    <t>DL04GH3456</t>
  </si>
  <si>
    <t>Manoj</t>
  </si>
  <si>
    <t>Golf Course Road</t>
  </si>
  <si>
    <t>DL09ST3456</t>
  </si>
  <si>
    <t>Pankaj</t>
  </si>
  <si>
    <t>Ghaziabad</t>
  </si>
  <si>
    <t>DL02CD5678</t>
  </si>
  <si>
    <t>Raj</t>
  </si>
  <si>
    <t>Dwarka</t>
  </si>
  <si>
    <t>DL07NP5678</t>
  </si>
  <si>
    <t>Deepak</t>
  </si>
  <si>
    <t>Cyber Hub</t>
  </si>
  <si>
    <t>DL12YZ5678</t>
  </si>
  <si>
    <t>Nitin</t>
  </si>
  <si>
    <t>Saket</t>
  </si>
  <si>
    <t>DL05JK7890</t>
  </si>
  <si>
    <t>Ravi</t>
  </si>
  <si>
    <t>Sector 18</t>
  </si>
  <si>
    <t>Botanical Garden</t>
  </si>
  <si>
    <t>Rohini</t>
  </si>
  <si>
    <t>MG Road</t>
  </si>
  <si>
    <t>Lajpat Nagar</t>
  </si>
  <si>
    <t xml:space="preserve">Net Profit After </t>
  </si>
  <si>
    <t>Row Labels</t>
  </si>
  <si>
    <t>Grand Total</t>
  </si>
  <si>
    <t>एप्रि</t>
  </si>
  <si>
    <t>मे</t>
  </si>
  <si>
    <t>जून</t>
  </si>
  <si>
    <t>जुलै</t>
  </si>
  <si>
    <t>ऑग</t>
  </si>
  <si>
    <t>सप्टें</t>
  </si>
  <si>
    <t xml:space="preserve">Sum of Net Profit After </t>
  </si>
  <si>
    <t>Sum of Rapido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</si>
</sst>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xf numFmtId="0" fontId="2" fillId="0" borderId="0" xfId="0" applyFont="1" applyAlignment="1"/>
    <xf numFmtId="14" fontId="1" fillId="0" borderId="0" xfId="0" applyNumberFormat="1" applyFont="1"/>
    <xf numFmtId="0" fontId="1"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cellXfs>
  <cellStyles count="1">
    <cellStyle name="Normal" xfId="0" builtinId="0"/>
  </cellStyles>
  <dxfs count="14">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[Untitled spreadsheet.xlsx]report!PivotTable1</c:name>
    <c:fmtId val="0"/>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report!$B$3</c:f>
              <c:strCache>
                <c:ptCount val="1"/>
                <c:pt idx="0">
                  <c:v>Sum of Net Profit After </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report!$A$4:$A$10</c:f>
              <c:strCache>
                <c:ptCount val="6"/>
                <c:pt idx="0">
                  <c:v>एप्रि</c:v>
                </c:pt>
                <c:pt idx="1">
                  <c:v>मे</c:v>
                </c:pt>
                <c:pt idx="2">
                  <c:v>जून</c:v>
                </c:pt>
                <c:pt idx="3">
                  <c:v>जुलै</c:v>
                </c:pt>
                <c:pt idx="4">
                  <c:v>ऑग</c:v>
                </c:pt>
                <c:pt idx="5">
                  <c:v>सप्टें</c:v>
                </c:pt>
              </c:strCache>
            </c:strRef>
          </c:cat>
          <c:val>
            <c:numRef>
              <c:f>report!$B$4:$B$10</c:f>
              <c:numCache>
                <c:formatCode>General</c:formatCode>
                <c:ptCount val="6"/>
                <c:pt idx="0">
                  <c:v>47479</c:v>
                </c:pt>
                <c:pt idx="1">
                  <c:v>61058</c:v>
                </c:pt>
                <c:pt idx="2">
                  <c:v>77458</c:v>
                </c:pt>
                <c:pt idx="3">
                  <c:v>114771</c:v>
                </c:pt>
                <c:pt idx="4">
                  <c:v>138184</c:v>
                </c:pt>
                <c:pt idx="5">
                  <c:v>41005</c:v>
                </c:pt>
              </c:numCache>
            </c:numRef>
          </c:val>
          <c:extLst>
            <c:ext xmlns:c16="http://schemas.microsoft.com/office/drawing/2014/chart" uri="{C3380CC4-5D6E-409C-BE32-E72D297353CC}">
              <c16:uniqueId val="{00000000-C7A4-411E-BD32-BB358DCA3702}"/>
            </c:ext>
          </c:extLst>
        </c:ser>
        <c:ser>
          <c:idx val="1"/>
          <c:order val="1"/>
          <c:tx>
            <c:strRef>
              <c:f>report!$C$3</c:f>
              <c:strCache>
                <c:ptCount val="1"/>
                <c:pt idx="0">
                  <c:v>Sum of Rapido Fee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report!$A$4:$A$10</c:f>
              <c:strCache>
                <c:ptCount val="6"/>
                <c:pt idx="0">
                  <c:v>एप्रि</c:v>
                </c:pt>
                <c:pt idx="1">
                  <c:v>मे</c:v>
                </c:pt>
                <c:pt idx="2">
                  <c:v>जून</c:v>
                </c:pt>
                <c:pt idx="3">
                  <c:v>जुलै</c:v>
                </c:pt>
                <c:pt idx="4">
                  <c:v>ऑग</c:v>
                </c:pt>
                <c:pt idx="5">
                  <c:v>सप्टें</c:v>
                </c:pt>
              </c:strCache>
            </c:strRef>
          </c:cat>
          <c:val>
            <c:numRef>
              <c:f>report!$C$4:$C$10</c:f>
              <c:numCache>
                <c:formatCode>General</c:formatCode>
                <c:ptCount val="6"/>
                <c:pt idx="0">
                  <c:v>18090</c:v>
                </c:pt>
                <c:pt idx="1">
                  <c:v>23410</c:v>
                </c:pt>
                <c:pt idx="2">
                  <c:v>29120</c:v>
                </c:pt>
                <c:pt idx="3">
                  <c:v>43180</c:v>
                </c:pt>
                <c:pt idx="4">
                  <c:v>52940</c:v>
                </c:pt>
                <c:pt idx="5">
                  <c:v>14080</c:v>
                </c:pt>
              </c:numCache>
            </c:numRef>
          </c:val>
          <c:extLst>
            <c:ext xmlns:c16="http://schemas.microsoft.com/office/drawing/2014/chart" uri="{C3380CC4-5D6E-409C-BE32-E72D297353CC}">
              <c16:uniqueId val="{00000001-C7A4-411E-BD32-BB358DCA3702}"/>
            </c:ext>
          </c:extLst>
        </c:ser>
        <c:dLbls>
          <c:dLblPos val="outEnd"/>
          <c:showLegendKey val="0"/>
          <c:showVal val="1"/>
          <c:showCatName val="0"/>
          <c:showSerName val="0"/>
          <c:showPercent val="0"/>
          <c:showBubbleSize val="0"/>
        </c:dLbls>
        <c:gapWidth val="444"/>
        <c:overlap val="-90"/>
        <c:axId val="412224608"/>
        <c:axId val="412221248"/>
      </c:barChart>
      <c:catAx>
        <c:axId val="41222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12221248"/>
        <c:crosses val="autoZero"/>
        <c:auto val="1"/>
        <c:lblAlgn val="ctr"/>
        <c:lblOffset val="100"/>
        <c:noMultiLvlLbl val="0"/>
      </c:catAx>
      <c:valAx>
        <c:axId val="412221248"/>
        <c:scaling>
          <c:orientation val="minMax"/>
        </c:scaling>
        <c:delete val="1"/>
        <c:axPos val="l"/>
        <c:numFmt formatCode="General" sourceLinked="1"/>
        <c:majorTickMark val="none"/>
        <c:minorTickMark val="none"/>
        <c:tickLblPos val="nextTo"/>
        <c:crossAx val="41222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327660</xdr:colOff>
      <xdr:row>0</xdr:row>
      <xdr:rowOff>95250</xdr:rowOff>
    </xdr:from>
    <xdr:to>
      <xdr:col>11</xdr:col>
      <xdr:colOff>22860</xdr:colOff>
      <xdr:row>16</xdr:row>
      <xdr:rowOff>156210</xdr:rowOff>
    </xdr:to>
    <xdr:graphicFrame macro="">
      <xdr:nvGraphicFramePr>
        <xdr:cNvPr id="2" name="Chart 1">
          <a:extLst>
            <a:ext uri="{FF2B5EF4-FFF2-40B4-BE49-F238E27FC236}">
              <a16:creationId xmlns:a16="http://schemas.microsoft.com/office/drawing/2014/main" id="{13CAD6F8-E808-BB81-AC3F-A4BC3F0A9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365760</xdr:colOff>
      <xdr:row>18</xdr:row>
      <xdr:rowOff>38101</xdr:rowOff>
    </xdr:from>
    <xdr:to>
      <xdr:col>8</xdr:col>
      <xdr:colOff>464820</xdr:colOff>
      <xdr:row>29</xdr:row>
      <xdr:rowOff>76201</xdr:rowOff>
    </xdr:to>
    <mc:AlternateContent xmlns:mc="http://schemas.openxmlformats.org/markup-compatibility/2006">
      <mc:Choice xmlns:a14="http://schemas.microsoft.com/office/drawing/2010/main" Requires="a14">
        <xdr:graphicFrame macro="">
          <xdr:nvGraphicFramePr>
            <xdr:cNvPr id="3" name="Car No">
              <a:extLst>
                <a:ext uri="{FF2B5EF4-FFF2-40B4-BE49-F238E27FC236}">
                  <a16:creationId xmlns:a16="http://schemas.microsoft.com/office/drawing/2014/main" id="{0B75DF36-D7BB-2194-D771-5FBC1EBBE120}"/>
                </a:ext>
              </a:extLst>
            </xdr:cNvPr>
            <xdr:cNvGraphicFramePr/>
          </xdr:nvGraphicFramePr>
          <xdr:xfrm>
            <a:off x="0" y="0"/>
            <a:ext cx="0" cy="0"/>
          </xdr:xfrm>
          <a:graphic>
            <a:graphicData uri="http://schemas.microsoft.com/office/drawing/2010/slicer">
              <sle:slicer xmlns:sle="http://schemas.microsoft.com/office/drawing/2010/slicer" name="Car No"/>
            </a:graphicData>
          </a:graphic>
        </xdr:graphicFrame>
      </mc:Choice>
      <mc:Fallback>
        <xdr:sp macro="" textlink="">
          <xdr:nvSpPr>
            <xdr:cNvPr id="0" name=""/>
            <xdr:cNvSpPr>
              <a:spLocks noTextEdit="1"/>
            </xdr:cNvSpPr>
          </xdr:nvSpPr>
          <xdr:spPr>
            <a:xfrm>
              <a:off x="3977640" y="3055621"/>
              <a:ext cx="3147060" cy="188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830580</xdr:colOff>
      <xdr:row>15</xdr:row>
      <xdr:rowOff>99060</xdr:rowOff>
    </xdr:from>
    <xdr:to>
      <xdr:col>3</xdr:col>
      <xdr:colOff>91440</xdr:colOff>
      <xdr:row>29</xdr:row>
      <xdr:rowOff>91440</xdr:rowOff>
    </xdr:to>
    <mc:AlternateContent xmlns:mc="http://schemas.openxmlformats.org/markup-compatibility/2006">
      <mc:Choice xmlns:a14="http://schemas.microsoft.com/office/drawing/2010/main" Requires="a14">
        <xdr:graphicFrame macro="">
          <xdr:nvGraphicFramePr>
            <xdr:cNvPr id="6" name="Place">
              <a:extLst>
                <a:ext uri="{FF2B5EF4-FFF2-40B4-BE49-F238E27FC236}">
                  <a16:creationId xmlns:a16="http://schemas.microsoft.com/office/drawing/2014/main" id="{071B20FB-52B1-1C1C-BEAA-035D0BF4FF4E}"/>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dr:sp macro="" textlink="">
          <xdr:nvSpPr>
            <xdr:cNvPr id="0" name=""/>
            <xdr:cNvSpPr>
              <a:spLocks noTextEdit="1"/>
            </xdr:cNvSpPr>
          </xdr:nvSpPr>
          <xdr:spPr>
            <a:xfrm>
              <a:off x="830580" y="2613660"/>
              <a:ext cx="2872740" cy="2339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8.388209606484" createdVersion="8" refreshedVersion="8" minRefreshableVersion="3" recordCount="600" xr:uid="{02ECB3E7-17AC-4DC5-BC1F-897728C7A847}">
  <cacheSource type="worksheet">
    <worksheetSource name="Table1"/>
  </cacheSource>
  <cacheFields count="14">
    <cacheField name="Trip Date" numFmtId="14">
      <sharedItems containsSemiMixedTypes="0" containsNonDate="0" containsDate="1" containsString="0" minDate="2026-04-13T00:00:00" maxDate="2026-09-10T00:00:00" count="15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sharedItems>
      <fieldGroup par="13"/>
    </cacheField>
    <cacheField name="Car No" numFmtId="0">
      <sharedItems count="12">
        <s v="DL10UV7890"/>
        <s v="DL03EF9012"/>
        <s v="DL08QR9012"/>
        <s v="DL01AB1234"/>
        <s v="DL06LM1234"/>
        <s v="DL11WX1234"/>
        <s v="DL04GH3456"/>
        <s v="DL09ST3456"/>
        <s v="DL02CD5678"/>
        <s v="DL07NP5678"/>
        <s v="DL12YZ5678"/>
        <s v="DL05JK7890"/>
      </sharedItems>
    </cacheField>
    <cacheField name="Driver" numFmtId="0">
      <sharedItems count="12">
        <s v="Rohit"/>
        <s v="Suresh"/>
        <s v="Anil"/>
        <s v="Amit"/>
        <s v="Vikas"/>
        <s v="Sunil"/>
        <s v="Manoj"/>
        <s v="Pankaj"/>
        <s v="Raj"/>
        <s v="Deepak"/>
        <s v="Nitin"/>
        <s v="Ravi"/>
      </sharedItems>
    </cacheField>
    <cacheField name="City" numFmtId="0">
      <sharedItems count="4">
        <s v="Delhi"/>
        <s v="Noida"/>
        <s v="Gurgaon"/>
        <s v="Ghaziabad"/>
      </sharedItems>
    </cacheField>
    <cacheField name="Place" numFmtId="0">
      <sharedItems count="16">
        <s v="Gurgaon"/>
        <s v="Rajouri Garden"/>
        <s v="Delhi"/>
        <s v="Sector 62"/>
        <s v="Connaught Place"/>
        <s v="Greater Noida"/>
        <s v="Golf Course Road"/>
        <s v="Noida"/>
        <s v="Dwarka"/>
        <s v="Cyber Hub"/>
        <s v="Saket"/>
        <s v="Sector 18"/>
        <s v="Botanical Garden"/>
        <s v="Rohini"/>
        <s v="MG Road"/>
        <s v="Lajpat Nagar"/>
      </sharedItems>
    </cacheField>
    <cacheField name="Trips" numFmtId="0">
      <sharedItems containsSemiMixedTypes="0" containsString="0" containsNumber="1" containsInteger="1" minValue="10" maxValue="29"/>
    </cacheField>
    <cacheField name="Gross Fare" numFmtId="0">
      <sharedItems containsSemiMixedTypes="0" containsString="0" containsNumber="1" containsInteger="1" minValue="1999" maxValue="8387"/>
    </cacheField>
    <cacheField name="Rapido Fee" numFmtId="0">
      <sharedItems containsSemiMixedTypes="0" containsString="0" containsNumber="1" containsInteger="1" minValue="400" maxValue="1780"/>
    </cacheField>
    <cacheField name="Net Earnings" numFmtId="0">
      <sharedItems containsSemiMixedTypes="0" containsString="0" containsNumber="1" containsInteger="1" minValue="1599" maxValue="6797"/>
    </cacheField>
    <cacheField name="Fuel Cost" numFmtId="0">
      <sharedItems containsSemiMixedTypes="0" containsString="0" containsNumber="1" containsInteger="1" minValue="920" maxValue="1940"/>
    </cacheField>
    <cacheField name="Rating" numFmtId="0">
      <sharedItems containsSemiMixedTypes="0" containsString="0" containsNumber="1" minValue="4.3" maxValue="4.9000000000000004"/>
    </cacheField>
    <cacheField name="Net Profit After " numFmtId="0">
      <sharedItems containsSemiMixedTypes="0" containsString="0" containsNumber="1" containsInteger="1" minValue="509" maxValue="5111"/>
    </cacheField>
    <cacheField name="Days (Trip Date)" numFmtId="0" databaseField="0">
      <fieldGroup base="0">
        <rangePr groupBy="days" startDate="2026-04-13T00:00:00" endDate="2026-09-10T00:00:00"/>
        <groupItems count="368">
          <s v="&lt;13-04-2026"/>
          <s v="01-जाने"/>
          <s v="02-जाने"/>
          <s v="03-जाने"/>
          <s v="04-जाने"/>
          <s v="05-जाने"/>
          <s v="06-जाने"/>
          <s v="07-जाने"/>
          <s v="08-जाने"/>
          <s v="09-जाने"/>
          <s v="10-जाने"/>
          <s v="11-जाने"/>
          <s v="12-जाने"/>
          <s v="13-जाने"/>
          <s v="14-जाने"/>
          <s v="15-जाने"/>
          <s v="16-जाने"/>
          <s v="17-जाने"/>
          <s v="18-जाने"/>
          <s v="19-जाने"/>
          <s v="20-जाने"/>
          <s v="21-जाने"/>
          <s v="22-जाने"/>
          <s v="23-जाने"/>
          <s v="24-जाने"/>
          <s v="25-जाने"/>
          <s v="26-जाने"/>
          <s v="27-जाने"/>
          <s v="28-जाने"/>
          <s v="29-जाने"/>
          <s v="30-जाने"/>
          <s v="31-जाने"/>
          <s v="01-फेब्रु"/>
          <s v="02-फेब्रु"/>
          <s v="03-फेब्रु"/>
          <s v="04-फेब्रु"/>
          <s v="05-फेब्रु"/>
          <s v="06-फेब्रु"/>
          <s v="07-फेब्रु"/>
          <s v="08-फेब्रु"/>
          <s v="09-फेब्रु"/>
          <s v="10-फेब्रु"/>
          <s v="11-फेब्रु"/>
          <s v="12-फेब्रु"/>
          <s v="13-फेब्रु"/>
          <s v="14-फेब्रु"/>
          <s v="15-फेब्रु"/>
          <s v="16-फेब्रु"/>
          <s v="17-फेब्रु"/>
          <s v="18-फेब्रु"/>
          <s v="19-फेब्रु"/>
          <s v="20-फेब्रु"/>
          <s v="21-फेब्रु"/>
          <s v="22-फेब्रु"/>
          <s v="23-फेब्रु"/>
          <s v="24-फेब्रु"/>
          <s v="25-फेब्रु"/>
          <s v="26-फेब्रु"/>
          <s v="27-फेब्रु"/>
          <s v="28-फेब्रु"/>
          <s v="29-फेब्रु"/>
          <s v="01-मार्च"/>
          <s v="02-मार्च"/>
          <s v="03-मार्च"/>
          <s v="04-मार्च"/>
          <s v="05-मार्च"/>
          <s v="06-मार्च"/>
          <s v="07-मार्च"/>
          <s v="08-मार्च"/>
          <s v="09-मार्च"/>
          <s v="10-मार्च"/>
          <s v="11-मार्च"/>
          <s v="12-मार्च"/>
          <s v="13-मार्च"/>
          <s v="14-मार्च"/>
          <s v="15-मार्च"/>
          <s v="16-मार्च"/>
          <s v="17-मार्च"/>
          <s v="18-मार्च"/>
          <s v="19-मार्च"/>
          <s v="20-मार्च"/>
          <s v="21-मार्च"/>
          <s v="22-मार्च"/>
          <s v="23-मार्च"/>
          <s v="24-मार्च"/>
          <s v="25-मार्च"/>
          <s v="26-मार्च"/>
          <s v="27-मार्च"/>
          <s v="28-मार्च"/>
          <s v="29-मार्च"/>
          <s v="30-मार्च"/>
          <s v="31-मार्च"/>
          <s v="01-एप्रि"/>
          <s v="02-एप्रि"/>
          <s v="03-एप्रि"/>
          <s v="04-एप्रि"/>
          <s v="05-एप्रि"/>
          <s v="06-एप्रि"/>
          <s v="07-एप्रि"/>
          <s v="08-एप्रि"/>
          <s v="09-एप्रि"/>
          <s v="10-एप्रि"/>
          <s v="11-एप्रि"/>
          <s v="12-एप्रि"/>
          <s v="13-एप्रि"/>
          <s v="14-एप्रि"/>
          <s v="15-एप्रि"/>
          <s v="16-एप्रि"/>
          <s v="17-एप्रि"/>
          <s v="18-एप्रि"/>
          <s v="19-एप्रि"/>
          <s v="20-एप्रि"/>
          <s v="21-एप्रि"/>
          <s v="22-एप्रि"/>
          <s v="23-एप्रि"/>
          <s v="24-एप्रि"/>
          <s v="25-एप्रि"/>
          <s v="26-एप्रि"/>
          <s v="27-एप्रि"/>
          <s v="28-एप्रि"/>
          <s v="29-एप्रि"/>
          <s v="30-एप्रि"/>
          <s v="01-मे"/>
          <s v="02-मे"/>
          <s v="03-मे"/>
          <s v="04-मे"/>
          <s v="05-मे"/>
          <s v="06-मे"/>
          <s v="07-मे"/>
          <s v="08-मे"/>
          <s v="09-मे"/>
          <s v="10-मे"/>
          <s v="11-मे"/>
          <s v="12-मे"/>
          <s v="13-मे"/>
          <s v="14-मे"/>
          <s v="15-मे"/>
          <s v="16-मे"/>
          <s v="17-मे"/>
          <s v="18-मे"/>
          <s v="19-मे"/>
          <s v="20-मे"/>
          <s v="21-मे"/>
          <s v="22-मे"/>
          <s v="23-मे"/>
          <s v="24-मे"/>
          <s v="25-मे"/>
          <s v="26-मे"/>
          <s v="27-मे"/>
          <s v="28-मे"/>
          <s v="29-मे"/>
          <s v="30-मे"/>
          <s v="31-मे"/>
          <s v="01-जून"/>
          <s v="02-जून"/>
          <s v="03-जून"/>
          <s v="04-जून"/>
          <s v="05-जून"/>
          <s v="06-जून"/>
          <s v="07-जून"/>
          <s v="08-जून"/>
          <s v="09-जून"/>
          <s v="10-जून"/>
          <s v="11-जून"/>
          <s v="12-जून"/>
          <s v="13-जून"/>
          <s v="14-जून"/>
          <s v="15-जून"/>
          <s v="16-जून"/>
          <s v="17-जून"/>
          <s v="18-जून"/>
          <s v="19-जून"/>
          <s v="20-जून"/>
          <s v="21-जून"/>
          <s v="22-जून"/>
          <s v="23-जून"/>
          <s v="24-जून"/>
          <s v="25-जून"/>
          <s v="26-जून"/>
          <s v="27-जून"/>
          <s v="28-जून"/>
          <s v="29-जून"/>
          <s v="30-जून"/>
          <s v="01-जुलै"/>
          <s v="02-जुलै"/>
          <s v="03-जुलै"/>
          <s v="04-जुलै"/>
          <s v="05-जुलै"/>
          <s v="06-जुलै"/>
          <s v="07-जुलै"/>
          <s v="08-जुलै"/>
          <s v="09-जुलै"/>
          <s v="10-जुलै"/>
          <s v="11-जुलै"/>
          <s v="12-जुलै"/>
          <s v="13-जुलै"/>
          <s v="14-जुलै"/>
          <s v="15-जुलै"/>
          <s v="16-जुलै"/>
          <s v="17-जुलै"/>
          <s v="18-जुलै"/>
          <s v="19-जुलै"/>
          <s v="20-जुलै"/>
          <s v="21-जुलै"/>
          <s v="22-जुलै"/>
          <s v="23-जुलै"/>
          <s v="24-जुलै"/>
          <s v="25-जुलै"/>
          <s v="26-जुलै"/>
          <s v="27-जुलै"/>
          <s v="28-जुलै"/>
          <s v="29-जुलै"/>
          <s v="30-जुलै"/>
          <s v="31-जुलै"/>
          <s v="01-ऑग"/>
          <s v="02-ऑग"/>
          <s v="03-ऑग"/>
          <s v="04-ऑग"/>
          <s v="05-ऑग"/>
          <s v="06-ऑग"/>
          <s v="07-ऑग"/>
          <s v="08-ऑग"/>
          <s v="09-ऑग"/>
          <s v="10-ऑग"/>
          <s v="11-ऑग"/>
          <s v="12-ऑग"/>
          <s v="13-ऑग"/>
          <s v="14-ऑग"/>
          <s v="15-ऑग"/>
          <s v="16-ऑग"/>
          <s v="17-ऑग"/>
          <s v="18-ऑग"/>
          <s v="19-ऑग"/>
          <s v="20-ऑग"/>
          <s v="21-ऑग"/>
          <s v="22-ऑग"/>
          <s v="23-ऑग"/>
          <s v="24-ऑग"/>
          <s v="25-ऑग"/>
          <s v="26-ऑग"/>
          <s v="27-ऑग"/>
          <s v="28-ऑग"/>
          <s v="29-ऑग"/>
          <s v="30-ऑग"/>
          <s v="31-ऑग"/>
          <s v="01-सप्टें"/>
          <s v="02-सप्टें"/>
          <s v="03-सप्टें"/>
          <s v="04-सप्टें"/>
          <s v="05-सप्टें"/>
          <s v="06-सप्टें"/>
          <s v="07-सप्टें"/>
          <s v="08-सप्टें"/>
          <s v="09-सप्टें"/>
          <s v="10-सप्टें"/>
          <s v="11-सप्टें"/>
          <s v="12-सप्टें"/>
          <s v="13-सप्टें"/>
          <s v="14-सप्टें"/>
          <s v="15-सप्टें"/>
          <s v="16-सप्टें"/>
          <s v="17-सप्टें"/>
          <s v="18-सप्टें"/>
          <s v="19-सप्टें"/>
          <s v="20-सप्टें"/>
          <s v="21-सप्टें"/>
          <s v="22-सप्टें"/>
          <s v="23-सप्टें"/>
          <s v="24-सप्टें"/>
          <s v="25-सप्टें"/>
          <s v="26-सप्टें"/>
          <s v="27-सप्टें"/>
          <s v="28-सप्टें"/>
          <s v="29-सप्टें"/>
          <s v="30-सप्टें"/>
          <s v="01-ऑक्टो"/>
          <s v="02-ऑक्टो"/>
          <s v="03-ऑक्टो"/>
          <s v="04-ऑक्टो"/>
          <s v="05-ऑक्टो"/>
          <s v="06-ऑक्टो"/>
          <s v="07-ऑक्टो"/>
          <s v="08-ऑक्टो"/>
          <s v="09-ऑक्टो"/>
          <s v="10-ऑक्टो"/>
          <s v="11-ऑक्टो"/>
          <s v="12-ऑक्टो"/>
          <s v="13-ऑक्टो"/>
          <s v="14-ऑक्टो"/>
          <s v="15-ऑक्टो"/>
          <s v="16-ऑक्टो"/>
          <s v="17-ऑक्टो"/>
          <s v="18-ऑक्टो"/>
          <s v="19-ऑक्टो"/>
          <s v="20-ऑक्टो"/>
          <s v="21-ऑक्टो"/>
          <s v="22-ऑक्टो"/>
          <s v="23-ऑक्टो"/>
          <s v="24-ऑक्टो"/>
          <s v="25-ऑक्टो"/>
          <s v="26-ऑक्टो"/>
          <s v="27-ऑक्टो"/>
          <s v="28-ऑक्टो"/>
          <s v="29-ऑक्टो"/>
          <s v="30-ऑक्टो"/>
          <s v="31-ऑक्टो"/>
          <s v="01-नोव्हें"/>
          <s v="02-नोव्हें"/>
          <s v="03-नोव्हें"/>
          <s v="04-नोव्हें"/>
          <s v="05-नोव्हें"/>
          <s v="06-नोव्हें"/>
          <s v="07-नोव्हें"/>
          <s v="08-नोव्हें"/>
          <s v="09-नोव्हें"/>
          <s v="10-नोव्हें"/>
          <s v="11-नोव्हें"/>
          <s v="12-नोव्हें"/>
          <s v="13-नोव्हें"/>
          <s v="14-नोव्हें"/>
          <s v="15-नोव्हें"/>
          <s v="16-नोव्हें"/>
          <s v="17-नोव्हें"/>
          <s v="18-नोव्हें"/>
          <s v="19-नोव्हें"/>
          <s v="20-नोव्हें"/>
          <s v="21-नोव्हें"/>
          <s v="22-नोव्हें"/>
          <s v="23-नोव्हें"/>
          <s v="24-नोव्हें"/>
          <s v="25-नोव्हें"/>
          <s v="26-नोव्हें"/>
          <s v="27-नोव्हें"/>
          <s v="28-नोव्हें"/>
          <s v="29-नोव्हें"/>
          <s v="30-नोव्हें"/>
          <s v="01-डिसें"/>
          <s v="02-डिसें"/>
          <s v="03-डिसें"/>
          <s v="04-डिसें"/>
          <s v="05-डिसें"/>
          <s v="06-डिसें"/>
          <s v="07-डिसें"/>
          <s v="08-डिसें"/>
          <s v="09-डिसें"/>
          <s v="10-डिसें"/>
          <s v="11-डिसें"/>
          <s v="12-डिसें"/>
          <s v="13-डिसें"/>
          <s v="14-डिसें"/>
          <s v="15-डिसें"/>
          <s v="16-डिसें"/>
          <s v="17-डिसें"/>
          <s v="18-डिसें"/>
          <s v="19-डिसें"/>
          <s v="20-डिसें"/>
          <s v="21-डिसें"/>
          <s v="22-डिसें"/>
          <s v="23-डिसें"/>
          <s v="24-डिसें"/>
          <s v="25-डिसें"/>
          <s v="26-डिसें"/>
          <s v="27-डिसें"/>
          <s v="28-डिसें"/>
          <s v="29-डिसें"/>
          <s v="30-डिसें"/>
          <s v="31-डिसें"/>
          <s v="&gt;10-09-2026"/>
        </groupItems>
      </fieldGroup>
    </cacheField>
    <cacheField name="Months (Trip Date)" numFmtId="0" databaseField="0">
      <fieldGroup base="0">
        <rangePr groupBy="months" startDate="2026-04-13T00:00:00" endDate="2026-09-10T00:00:00"/>
        <groupItems count="14">
          <s v="&lt;13-04-2026"/>
          <s v="जाने"/>
          <s v="फेब्रु"/>
          <s v="मार्च"/>
          <s v="एप्रि"/>
          <s v="मे"/>
          <s v="जून"/>
          <s v="जुलै"/>
          <s v="ऑग"/>
          <s v="सप्टें"/>
          <s v="ऑक्टो"/>
          <s v="नोव्हें"/>
          <s v="डिसें"/>
          <s v="&gt;10-09-2026"/>
        </groupItems>
      </fieldGroup>
    </cacheField>
  </cacheFields>
  <extLst>
    <ext xmlns:x14="http://schemas.microsoft.com/office/spreadsheetml/2009/9/main" uri="{725AE2AE-9491-48be-B2B4-4EB974FC3084}">
      <x14:pivotCacheDefinition pivotCacheId="1001106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x v="0"/>
    <x v="0"/>
    <x v="0"/>
    <n v="15"/>
    <n v="3273"/>
    <n v="690"/>
    <n v="2583"/>
    <n v="1200"/>
    <n v="4.8"/>
    <n v="1383"/>
  </r>
  <r>
    <x v="1"/>
    <x v="1"/>
    <x v="1"/>
    <x v="0"/>
    <x v="1"/>
    <n v="18"/>
    <n v="3592"/>
    <n v="720"/>
    <n v="2872"/>
    <n v="1140"/>
    <n v="4.3"/>
    <n v="1732"/>
  </r>
  <r>
    <x v="2"/>
    <x v="2"/>
    <x v="2"/>
    <x v="1"/>
    <x v="2"/>
    <n v="15"/>
    <n v="3987"/>
    <n v="880"/>
    <n v="3107"/>
    <n v="1210"/>
    <n v="4.4000000000000004"/>
    <n v="1897"/>
  </r>
  <r>
    <x v="3"/>
    <x v="3"/>
    <x v="3"/>
    <x v="1"/>
    <x v="3"/>
    <n v="21"/>
    <n v="5382"/>
    <n v="1080"/>
    <n v="4302"/>
    <n v="1240"/>
    <n v="4.4000000000000004"/>
    <n v="3062"/>
  </r>
  <r>
    <x v="4"/>
    <x v="4"/>
    <x v="4"/>
    <x v="1"/>
    <x v="4"/>
    <n v="27"/>
    <n v="6903"/>
    <n v="1240"/>
    <n v="5663"/>
    <n v="1440"/>
    <n v="4.5999999999999996"/>
    <n v="4223"/>
  </r>
  <r>
    <x v="5"/>
    <x v="5"/>
    <x v="5"/>
    <x v="1"/>
    <x v="5"/>
    <n v="20"/>
    <n v="4695"/>
    <n v="1030"/>
    <n v="3665"/>
    <n v="1290"/>
    <n v="4.5999999999999996"/>
    <n v="2375"/>
  </r>
  <r>
    <x v="6"/>
    <x v="6"/>
    <x v="6"/>
    <x v="2"/>
    <x v="6"/>
    <n v="20"/>
    <n v="4055"/>
    <n v="890"/>
    <n v="3165"/>
    <n v="1440"/>
    <n v="4.7"/>
    <n v="1725"/>
  </r>
  <r>
    <x v="7"/>
    <x v="7"/>
    <x v="7"/>
    <x v="3"/>
    <x v="7"/>
    <n v="12"/>
    <n v="2902"/>
    <n v="610"/>
    <n v="2292"/>
    <n v="1000"/>
    <n v="4.8"/>
    <n v="1292"/>
  </r>
  <r>
    <x v="8"/>
    <x v="8"/>
    <x v="8"/>
    <x v="0"/>
    <x v="8"/>
    <n v="27"/>
    <n v="5913"/>
    <n v="1300"/>
    <n v="4613"/>
    <n v="1770"/>
    <n v="4.5"/>
    <n v="2843"/>
  </r>
  <r>
    <x v="9"/>
    <x v="9"/>
    <x v="9"/>
    <x v="2"/>
    <x v="9"/>
    <n v="16"/>
    <n v="3354"/>
    <n v="700"/>
    <n v="2654"/>
    <n v="1110"/>
    <n v="4.4000000000000004"/>
    <n v="1544"/>
  </r>
  <r>
    <x v="10"/>
    <x v="10"/>
    <x v="10"/>
    <x v="0"/>
    <x v="10"/>
    <n v="10"/>
    <n v="2123"/>
    <n v="470"/>
    <n v="1653"/>
    <n v="940"/>
    <n v="4.9000000000000004"/>
    <n v="713"/>
  </r>
  <r>
    <x v="11"/>
    <x v="11"/>
    <x v="11"/>
    <x v="1"/>
    <x v="11"/>
    <n v="25"/>
    <n v="5310"/>
    <n v="1170"/>
    <n v="4140"/>
    <n v="1610"/>
    <n v="4.9000000000000004"/>
    <n v="2530"/>
  </r>
  <r>
    <x v="12"/>
    <x v="0"/>
    <x v="0"/>
    <x v="2"/>
    <x v="2"/>
    <n v="14"/>
    <n v="3390"/>
    <n v="710"/>
    <n v="2680"/>
    <n v="1200"/>
    <n v="4.5"/>
    <n v="1480"/>
  </r>
  <r>
    <x v="13"/>
    <x v="1"/>
    <x v="1"/>
    <x v="1"/>
    <x v="12"/>
    <n v="14"/>
    <n v="3308"/>
    <n v="660"/>
    <n v="2648"/>
    <n v="1210"/>
    <n v="4.5"/>
    <n v="1438"/>
  </r>
  <r>
    <x v="14"/>
    <x v="2"/>
    <x v="2"/>
    <x v="0"/>
    <x v="13"/>
    <n v="27"/>
    <n v="7462"/>
    <n v="1340"/>
    <n v="6122"/>
    <n v="1760"/>
    <n v="4.7"/>
    <n v="4362"/>
  </r>
  <r>
    <x v="15"/>
    <x v="3"/>
    <x v="3"/>
    <x v="2"/>
    <x v="14"/>
    <n v="14"/>
    <n v="3221"/>
    <n v="680"/>
    <n v="2541"/>
    <n v="1180"/>
    <n v="4.5999999999999996"/>
    <n v="1361"/>
  </r>
  <r>
    <x v="16"/>
    <x v="4"/>
    <x v="4"/>
    <x v="0"/>
    <x v="15"/>
    <n v="21"/>
    <n v="5280"/>
    <n v="950"/>
    <n v="4330"/>
    <n v="1290"/>
    <n v="4.8"/>
    <n v="3040"/>
  </r>
  <r>
    <x v="17"/>
    <x v="5"/>
    <x v="5"/>
    <x v="0"/>
    <x v="0"/>
    <n v="24"/>
    <n v="5594"/>
    <n v="1060"/>
    <n v="4534"/>
    <n v="1440"/>
    <n v="4.4000000000000004"/>
    <n v="3094"/>
  </r>
  <r>
    <x v="18"/>
    <x v="6"/>
    <x v="6"/>
    <x v="0"/>
    <x v="1"/>
    <n v="15"/>
    <n v="3730"/>
    <n v="820"/>
    <n v="2910"/>
    <n v="1070"/>
    <n v="4.7"/>
    <n v="1840"/>
  </r>
  <r>
    <x v="19"/>
    <x v="7"/>
    <x v="7"/>
    <x v="1"/>
    <x v="2"/>
    <n v="27"/>
    <n v="6956"/>
    <n v="1390"/>
    <n v="5566"/>
    <n v="1530"/>
    <n v="4.7"/>
    <n v="4036"/>
  </r>
  <r>
    <x v="20"/>
    <x v="8"/>
    <x v="8"/>
    <x v="1"/>
    <x v="3"/>
    <n v="10"/>
    <n v="2635"/>
    <n v="550"/>
    <n v="2085"/>
    <n v="1020"/>
    <n v="4.4000000000000004"/>
    <n v="1065"/>
  </r>
  <r>
    <x v="21"/>
    <x v="9"/>
    <x v="9"/>
    <x v="1"/>
    <x v="4"/>
    <n v="21"/>
    <n v="4866"/>
    <n v="1020"/>
    <n v="3846"/>
    <n v="1520"/>
    <n v="4.5999999999999996"/>
    <n v="2326"/>
  </r>
  <r>
    <x v="22"/>
    <x v="10"/>
    <x v="10"/>
    <x v="1"/>
    <x v="5"/>
    <n v="16"/>
    <n v="3258"/>
    <n v="720"/>
    <n v="2538"/>
    <n v="1190"/>
    <n v="4.4000000000000004"/>
    <n v="1348"/>
  </r>
  <r>
    <x v="23"/>
    <x v="11"/>
    <x v="11"/>
    <x v="2"/>
    <x v="6"/>
    <n v="14"/>
    <n v="3742"/>
    <n v="710"/>
    <n v="3032"/>
    <n v="1210"/>
    <n v="4.8"/>
    <n v="1822"/>
  </r>
  <r>
    <x v="24"/>
    <x v="0"/>
    <x v="0"/>
    <x v="3"/>
    <x v="7"/>
    <n v="15"/>
    <n v="3147"/>
    <n v="630"/>
    <n v="2517"/>
    <n v="1210"/>
    <n v="4.7"/>
    <n v="1307"/>
  </r>
  <r>
    <x v="25"/>
    <x v="1"/>
    <x v="1"/>
    <x v="0"/>
    <x v="8"/>
    <n v="20"/>
    <n v="5438"/>
    <n v="980"/>
    <n v="4458"/>
    <n v="1430"/>
    <n v="4.8"/>
    <n v="3028"/>
  </r>
  <r>
    <x v="26"/>
    <x v="2"/>
    <x v="2"/>
    <x v="2"/>
    <x v="9"/>
    <n v="17"/>
    <n v="4173"/>
    <n v="920"/>
    <n v="3253"/>
    <n v="1260"/>
    <n v="4.5"/>
    <n v="1993"/>
  </r>
  <r>
    <x v="27"/>
    <x v="3"/>
    <x v="3"/>
    <x v="0"/>
    <x v="10"/>
    <n v="17"/>
    <n v="4706"/>
    <n v="940"/>
    <n v="3766"/>
    <n v="1130"/>
    <n v="4.5"/>
    <n v="2636"/>
  </r>
  <r>
    <x v="28"/>
    <x v="4"/>
    <x v="4"/>
    <x v="1"/>
    <x v="11"/>
    <n v="25"/>
    <n v="6754"/>
    <n v="1280"/>
    <n v="5474"/>
    <n v="1430"/>
    <n v="4.4000000000000004"/>
    <n v="4044"/>
  </r>
  <r>
    <x v="29"/>
    <x v="5"/>
    <x v="5"/>
    <x v="2"/>
    <x v="2"/>
    <n v="10"/>
    <n v="1999"/>
    <n v="400"/>
    <n v="1599"/>
    <n v="1090"/>
    <n v="4.5999999999999996"/>
    <n v="509"/>
  </r>
  <r>
    <x v="0"/>
    <x v="6"/>
    <x v="6"/>
    <x v="1"/>
    <x v="12"/>
    <n v="11"/>
    <n v="2496"/>
    <n v="470"/>
    <n v="2026"/>
    <n v="1070"/>
    <n v="4.7"/>
    <n v="956"/>
  </r>
  <r>
    <x v="1"/>
    <x v="7"/>
    <x v="7"/>
    <x v="0"/>
    <x v="13"/>
    <n v="19"/>
    <n v="4005"/>
    <n v="800"/>
    <n v="3205"/>
    <n v="1250"/>
    <n v="4.7"/>
    <n v="1955"/>
  </r>
  <r>
    <x v="2"/>
    <x v="8"/>
    <x v="8"/>
    <x v="2"/>
    <x v="14"/>
    <n v="22"/>
    <n v="5637"/>
    <n v="1180"/>
    <n v="4457"/>
    <n v="1570"/>
    <n v="4.5999999999999996"/>
    <n v="2887"/>
  </r>
  <r>
    <x v="3"/>
    <x v="9"/>
    <x v="9"/>
    <x v="0"/>
    <x v="15"/>
    <n v="14"/>
    <n v="3355"/>
    <n v="740"/>
    <n v="2615"/>
    <n v="1040"/>
    <n v="4.9000000000000004"/>
    <n v="1575"/>
  </r>
  <r>
    <x v="4"/>
    <x v="10"/>
    <x v="10"/>
    <x v="0"/>
    <x v="0"/>
    <n v="16"/>
    <n v="3669"/>
    <n v="810"/>
    <n v="2859"/>
    <n v="1220"/>
    <n v="4.7"/>
    <n v="1639"/>
  </r>
  <r>
    <x v="5"/>
    <x v="11"/>
    <x v="11"/>
    <x v="0"/>
    <x v="1"/>
    <n v="27"/>
    <n v="6401"/>
    <n v="1340"/>
    <n v="5061"/>
    <n v="1550"/>
    <n v="4.7"/>
    <n v="3511"/>
  </r>
  <r>
    <x v="6"/>
    <x v="0"/>
    <x v="0"/>
    <x v="1"/>
    <x v="2"/>
    <n v="23"/>
    <n v="5065"/>
    <n v="1010"/>
    <n v="4055"/>
    <n v="1460"/>
    <n v="4.7"/>
    <n v="2595"/>
  </r>
  <r>
    <x v="7"/>
    <x v="1"/>
    <x v="1"/>
    <x v="1"/>
    <x v="3"/>
    <n v="25"/>
    <n v="6328"/>
    <n v="1390"/>
    <n v="4938"/>
    <n v="1500"/>
    <n v="4.8"/>
    <n v="3438"/>
  </r>
  <r>
    <x v="8"/>
    <x v="2"/>
    <x v="2"/>
    <x v="1"/>
    <x v="4"/>
    <n v="12"/>
    <n v="3035"/>
    <n v="610"/>
    <n v="2425"/>
    <n v="990"/>
    <n v="4.4000000000000004"/>
    <n v="1435"/>
  </r>
  <r>
    <x v="9"/>
    <x v="3"/>
    <x v="3"/>
    <x v="1"/>
    <x v="5"/>
    <n v="24"/>
    <n v="5034"/>
    <n v="1010"/>
    <n v="4024"/>
    <n v="1400"/>
    <n v="4.5999999999999996"/>
    <n v="2624"/>
  </r>
  <r>
    <x v="10"/>
    <x v="4"/>
    <x v="4"/>
    <x v="2"/>
    <x v="6"/>
    <n v="22"/>
    <n v="4951"/>
    <n v="890"/>
    <n v="4061"/>
    <n v="1430"/>
    <n v="4.5"/>
    <n v="2631"/>
  </r>
  <r>
    <x v="11"/>
    <x v="5"/>
    <x v="5"/>
    <x v="3"/>
    <x v="7"/>
    <n v="15"/>
    <n v="3120"/>
    <n v="660"/>
    <n v="2460"/>
    <n v="1100"/>
    <n v="4.5"/>
    <n v="1360"/>
  </r>
  <r>
    <x v="12"/>
    <x v="6"/>
    <x v="6"/>
    <x v="0"/>
    <x v="8"/>
    <n v="11"/>
    <n v="2403"/>
    <n v="530"/>
    <n v="1873"/>
    <n v="1160"/>
    <n v="4.7"/>
    <n v="713"/>
  </r>
  <r>
    <x v="13"/>
    <x v="7"/>
    <x v="7"/>
    <x v="2"/>
    <x v="9"/>
    <n v="18"/>
    <n v="4750"/>
    <n v="900"/>
    <n v="3850"/>
    <n v="1290"/>
    <n v="4.5"/>
    <n v="2560"/>
  </r>
  <r>
    <x v="14"/>
    <x v="8"/>
    <x v="8"/>
    <x v="0"/>
    <x v="10"/>
    <n v="16"/>
    <n v="4230"/>
    <n v="800"/>
    <n v="3430"/>
    <n v="1390"/>
    <n v="4.7"/>
    <n v="2040"/>
  </r>
  <r>
    <x v="15"/>
    <x v="9"/>
    <x v="9"/>
    <x v="1"/>
    <x v="11"/>
    <n v="15"/>
    <n v="3270"/>
    <n v="590"/>
    <n v="2680"/>
    <n v="1220"/>
    <n v="4.5"/>
    <n v="1460"/>
  </r>
  <r>
    <x v="16"/>
    <x v="10"/>
    <x v="10"/>
    <x v="2"/>
    <x v="2"/>
    <n v="27"/>
    <n v="5983"/>
    <n v="1200"/>
    <n v="4783"/>
    <n v="1800"/>
    <n v="4.5999999999999996"/>
    <n v="2983"/>
  </r>
  <r>
    <x v="17"/>
    <x v="11"/>
    <x v="11"/>
    <x v="1"/>
    <x v="12"/>
    <n v="27"/>
    <n v="6212"/>
    <n v="1370"/>
    <n v="4842"/>
    <n v="1810"/>
    <n v="4.3"/>
    <n v="3032"/>
  </r>
  <r>
    <x v="18"/>
    <x v="0"/>
    <x v="0"/>
    <x v="0"/>
    <x v="13"/>
    <n v="22"/>
    <n v="4997"/>
    <n v="1000"/>
    <n v="3997"/>
    <n v="1270"/>
    <n v="4.5"/>
    <n v="2727"/>
  </r>
  <r>
    <x v="19"/>
    <x v="1"/>
    <x v="1"/>
    <x v="2"/>
    <x v="14"/>
    <n v="26"/>
    <n v="5594"/>
    <n v="1010"/>
    <n v="4584"/>
    <n v="1440"/>
    <n v="4.4000000000000004"/>
    <n v="3144"/>
  </r>
  <r>
    <x v="20"/>
    <x v="2"/>
    <x v="2"/>
    <x v="0"/>
    <x v="15"/>
    <n v="17"/>
    <n v="4339"/>
    <n v="870"/>
    <n v="3469"/>
    <n v="1300"/>
    <n v="4.4000000000000004"/>
    <n v="2169"/>
  </r>
  <r>
    <x v="21"/>
    <x v="3"/>
    <x v="3"/>
    <x v="0"/>
    <x v="0"/>
    <n v="23"/>
    <n v="4612"/>
    <n v="970"/>
    <n v="3642"/>
    <n v="1330"/>
    <n v="4.4000000000000004"/>
    <n v="2312"/>
  </r>
  <r>
    <x v="22"/>
    <x v="4"/>
    <x v="4"/>
    <x v="0"/>
    <x v="1"/>
    <n v="26"/>
    <n v="6095"/>
    <n v="1280"/>
    <n v="4815"/>
    <n v="1450"/>
    <n v="4.8"/>
    <n v="3365"/>
  </r>
  <r>
    <x v="23"/>
    <x v="5"/>
    <x v="5"/>
    <x v="1"/>
    <x v="2"/>
    <n v="14"/>
    <n v="3716"/>
    <n v="780"/>
    <n v="2936"/>
    <n v="1130"/>
    <n v="4.9000000000000004"/>
    <n v="1806"/>
  </r>
  <r>
    <x v="24"/>
    <x v="6"/>
    <x v="6"/>
    <x v="1"/>
    <x v="3"/>
    <n v="10"/>
    <n v="2299"/>
    <n v="440"/>
    <n v="1859"/>
    <n v="960"/>
    <n v="4.9000000000000004"/>
    <n v="899"/>
  </r>
  <r>
    <x v="25"/>
    <x v="7"/>
    <x v="7"/>
    <x v="1"/>
    <x v="4"/>
    <n v="27"/>
    <n v="5979"/>
    <n v="1320"/>
    <n v="4659"/>
    <n v="1720"/>
    <n v="4.7"/>
    <n v="2939"/>
  </r>
  <r>
    <x v="26"/>
    <x v="8"/>
    <x v="8"/>
    <x v="1"/>
    <x v="5"/>
    <n v="10"/>
    <n v="2601"/>
    <n v="470"/>
    <n v="2131"/>
    <n v="960"/>
    <n v="4.5"/>
    <n v="1171"/>
  </r>
  <r>
    <x v="27"/>
    <x v="9"/>
    <x v="9"/>
    <x v="2"/>
    <x v="6"/>
    <n v="10"/>
    <n v="2383"/>
    <n v="500"/>
    <n v="1883"/>
    <n v="1150"/>
    <n v="4.3"/>
    <n v="733"/>
  </r>
  <r>
    <x v="28"/>
    <x v="10"/>
    <x v="10"/>
    <x v="3"/>
    <x v="7"/>
    <n v="15"/>
    <n v="4037"/>
    <n v="810"/>
    <n v="3227"/>
    <n v="1160"/>
    <n v="4.5999999999999996"/>
    <n v="2067"/>
  </r>
  <r>
    <x v="29"/>
    <x v="11"/>
    <x v="11"/>
    <x v="0"/>
    <x v="8"/>
    <n v="23"/>
    <n v="6457"/>
    <n v="1360"/>
    <n v="5097"/>
    <n v="1390"/>
    <n v="4.4000000000000004"/>
    <n v="3707"/>
  </r>
  <r>
    <x v="0"/>
    <x v="0"/>
    <x v="0"/>
    <x v="2"/>
    <x v="9"/>
    <n v="24"/>
    <n v="6288"/>
    <n v="1130"/>
    <n v="5158"/>
    <n v="1520"/>
    <n v="4.7"/>
    <n v="3638"/>
  </r>
  <r>
    <x v="1"/>
    <x v="1"/>
    <x v="1"/>
    <x v="0"/>
    <x v="10"/>
    <n v="27"/>
    <n v="6758"/>
    <n v="1220"/>
    <n v="5538"/>
    <n v="1730"/>
    <n v="4.5999999999999996"/>
    <n v="3808"/>
  </r>
  <r>
    <x v="2"/>
    <x v="2"/>
    <x v="2"/>
    <x v="1"/>
    <x v="11"/>
    <n v="22"/>
    <n v="5961"/>
    <n v="1250"/>
    <n v="4711"/>
    <n v="1450"/>
    <n v="4.8"/>
    <n v="3261"/>
  </r>
  <r>
    <x v="3"/>
    <x v="3"/>
    <x v="3"/>
    <x v="2"/>
    <x v="2"/>
    <n v="11"/>
    <n v="2764"/>
    <n v="580"/>
    <n v="2184"/>
    <n v="1190"/>
    <n v="4.8"/>
    <n v="994"/>
  </r>
  <r>
    <x v="4"/>
    <x v="4"/>
    <x v="4"/>
    <x v="1"/>
    <x v="12"/>
    <n v="27"/>
    <n v="6313"/>
    <n v="1200"/>
    <n v="5113"/>
    <n v="1480"/>
    <n v="4.7"/>
    <n v="3633"/>
  </r>
  <r>
    <x v="5"/>
    <x v="5"/>
    <x v="5"/>
    <x v="0"/>
    <x v="13"/>
    <n v="26"/>
    <n v="6869"/>
    <n v="1240"/>
    <n v="5629"/>
    <n v="1670"/>
    <n v="4.5999999999999996"/>
    <n v="3959"/>
  </r>
  <r>
    <x v="6"/>
    <x v="6"/>
    <x v="6"/>
    <x v="2"/>
    <x v="14"/>
    <n v="23"/>
    <n v="5709"/>
    <n v="1200"/>
    <n v="4509"/>
    <n v="1520"/>
    <n v="4.9000000000000004"/>
    <n v="2989"/>
  </r>
  <r>
    <x v="7"/>
    <x v="7"/>
    <x v="7"/>
    <x v="0"/>
    <x v="15"/>
    <n v="20"/>
    <n v="5373"/>
    <n v="970"/>
    <n v="4403"/>
    <n v="1450"/>
    <n v="4.7"/>
    <n v="2953"/>
  </r>
  <r>
    <x v="8"/>
    <x v="8"/>
    <x v="8"/>
    <x v="0"/>
    <x v="0"/>
    <n v="26"/>
    <n v="6651"/>
    <n v="1200"/>
    <n v="5451"/>
    <n v="1700"/>
    <n v="4.5"/>
    <n v="3751"/>
  </r>
  <r>
    <x v="9"/>
    <x v="9"/>
    <x v="9"/>
    <x v="0"/>
    <x v="1"/>
    <n v="13"/>
    <n v="3058"/>
    <n v="550"/>
    <n v="2508"/>
    <n v="1090"/>
    <n v="4.7"/>
    <n v="1418"/>
  </r>
  <r>
    <x v="10"/>
    <x v="10"/>
    <x v="10"/>
    <x v="1"/>
    <x v="2"/>
    <n v="10"/>
    <n v="2412"/>
    <n v="510"/>
    <n v="1902"/>
    <n v="920"/>
    <n v="4.5"/>
    <n v="982"/>
  </r>
  <r>
    <x v="11"/>
    <x v="11"/>
    <x v="11"/>
    <x v="1"/>
    <x v="3"/>
    <n v="16"/>
    <n v="4564"/>
    <n v="820"/>
    <n v="3744"/>
    <n v="1270"/>
    <n v="4.5999999999999996"/>
    <n v="2474"/>
  </r>
  <r>
    <x v="12"/>
    <x v="0"/>
    <x v="0"/>
    <x v="1"/>
    <x v="4"/>
    <n v="17"/>
    <n v="3763"/>
    <n v="680"/>
    <n v="3083"/>
    <n v="1180"/>
    <n v="4.7"/>
    <n v="1903"/>
  </r>
  <r>
    <x v="13"/>
    <x v="1"/>
    <x v="1"/>
    <x v="1"/>
    <x v="5"/>
    <n v="26"/>
    <n v="6863"/>
    <n v="1510"/>
    <n v="5353"/>
    <n v="1620"/>
    <n v="4.7"/>
    <n v="3733"/>
  </r>
  <r>
    <x v="14"/>
    <x v="2"/>
    <x v="2"/>
    <x v="2"/>
    <x v="6"/>
    <n v="18"/>
    <n v="4852"/>
    <n v="1070"/>
    <n v="3782"/>
    <n v="1140"/>
    <n v="4.8"/>
    <n v="2642"/>
  </r>
  <r>
    <x v="15"/>
    <x v="3"/>
    <x v="3"/>
    <x v="3"/>
    <x v="7"/>
    <n v="27"/>
    <n v="5554"/>
    <n v="1000"/>
    <n v="4554"/>
    <n v="1800"/>
    <n v="4.3"/>
    <n v="2754"/>
  </r>
  <r>
    <x v="16"/>
    <x v="4"/>
    <x v="4"/>
    <x v="0"/>
    <x v="8"/>
    <n v="16"/>
    <n v="3605"/>
    <n v="680"/>
    <n v="2925"/>
    <n v="1240"/>
    <n v="4.4000000000000004"/>
    <n v="1685"/>
  </r>
  <r>
    <x v="17"/>
    <x v="5"/>
    <x v="5"/>
    <x v="2"/>
    <x v="9"/>
    <n v="19"/>
    <n v="4172"/>
    <n v="790"/>
    <n v="3382"/>
    <n v="1440"/>
    <n v="4.9000000000000004"/>
    <n v="1942"/>
  </r>
  <r>
    <x v="18"/>
    <x v="6"/>
    <x v="6"/>
    <x v="0"/>
    <x v="10"/>
    <n v="24"/>
    <n v="5843"/>
    <n v="1110"/>
    <n v="4733"/>
    <n v="1630"/>
    <n v="4.5"/>
    <n v="3103"/>
  </r>
  <r>
    <x v="19"/>
    <x v="7"/>
    <x v="7"/>
    <x v="1"/>
    <x v="11"/>
    <n v="13"/>
    <n v="2935"/>
    <n v="620"/>
    <n v="2315"/>
    <n v="1140"/>
    <n v="4.5"/>
    <n v="1175"/>
  </r>
  <r>
    <x v="20"/>
    <x v="8"/>
    <x v="8"/>
    <x v="2"/>
    <x v="2"/>
    <n v="20"/>
    <n v="5264"/>
    <n v="1160"/>
    <n v="4104"/>
    <n v="1540"/>
    <n v="4.5"/>
    <n v="2564"/>
  </r>
  <r>
    <x v="21"/>
    <x v="9"/>
    <x v="9"/>
    <x v="1"/>
    <x v="12"/>
    <n v="13"/>
    <n v="2756"/>
    <n v="500"/>
    <n v="2256"/>
    <n v="1160"/>
    <n v="4.7"/>
    <n v="1096"/>
  </r>
  <r>
    <x v="22"/>
    <x v="10"/>
    <x v="10"/>
    <x v="0"/>
    <x v="13"/>
    <n v="25"/>
    <n v="5928"/>
    <n v="1190"/>
    <n v="4738"/>
    <n v="1510"/>
    <n v="4.5"/>
    <n v="3228"/>
  </r>
  <r>
    <x v="23"/>
    <x v="11"/>
    <x v="11"/>
    <x v="2"/>
    <x v="14"/>
    <n v="23"/>
    <n v="6430"/>
    <n v="1160"/>
    <n v="5270"/>
    <n v="1510"/>
    <n v="4.9000000000000004"/>
    <n v="3760"/>
  </r>
  <r>
    <x v="24"/>
    <x v="0"/>
    <x v="0"/>
    <x v="0"/>
    <x v="15"/>
    <n v="11"/>
    <n v="2516"/>
    <n v="550"/>
    <n v="1966"/>
    <n v="1080"/>
    <n v="4.3"/>
    <n v="886"/>
  </r>
  <r>
    <x v="25"/>
    <x v="1"/>
    <x v="1"/>
    <x v="0"/>
    <x v="0"/>
    <n v="11"/>
    <n v="2779"/>
    <n v="500"/>
    <n v="2279"/>
    <n v="1190"/>
    <n v="4.7"/>
    <n v="1089"/>
  </r>
  <r>
    <x v="26"/>
    <x v="2"/>
    <x v="2"/>
    <x v="0"/>
    <x v="1"/>
    <n v="20"/>
    <n v="5115"/>
    <n v="1020"/>
    <n v="4095"/>
    <n v="1320"/>
    <n v="4.7"/>
    <n v="2775"/>
  </r>
  <r>
    <x v="27"/>
    <x v="3"/>
    <x v="3"/>
    <x v="1"/>
    <x v="2"/>
    <n v="13"/>
    <n v="3358"/>
    <n v="640"/>
    <n v="2718"/>
    <n v="1120"/>
    <n v="4.4000000000000004"/>
    <n v="1598"/>
  </r>
  <r>
    <x v="28"/>
    <x v="4"/>
    <x v="4"/>
    <x v="1"/>
    <x v="3"/>
    <n v="13"/>
    <n v="2586"/>
    <n v="490"/>
    <n v="2096"/>
    <n v="1220"/>
    <n v="4.5999999999999996"/>
    <n v="876"/>
  </r>
  <r>
    <x v="29"/>
    <x v="5"/>
    <x v="5"/>
    <x v="1"/>
    <x v="4"/>
    <n v="11"/>
    <n v="2213"/>
    <n v="490"/>
    <n v="1723"/>
    <n v="1020"/>
    <n v="4.5"/>
    <n v="703"/>
  </r>
  <r>
    <x v="0"/>
    <x v="6"/>
    <x v="6"/>
    <x v="1"/>
    <x v="5"/>
    <n v="22"/>
    <n v="4443"/>
    <n v="890"/>
    <n v="3553"/>
    <n v="1390"/>
    <n v="4.5999999999999996"/>
    <n v="2163"/>
  </r>
  <r>
    <x v="1"/>
    <x v="7"/>
    <x v="7"/>
    <x v="2"/>
    <x v="6"/>
    <n v="23"/>
    <n v="5664"/>
    <n v="1190"/>
    <n v="4474"/>
    <n v="1540"/>
    <n v="4.3"/>
    <n v="2934"/>
  </r>
  <r>
    <x v="2"/>
    <x v="8"/>
    <x v="8"/>
    <x v="3"/>
    <x v="7"/>
    <n v="24"/>
    <n v="5267"/>
    <n v="1160"/>
    <n v="4107"/>
    <n v="1530"/>
    <n v="4.5999999999999996"/>
    <n v="2577"/>
  </r>
  <r>
    <x v="3"/>
    <x v="9"/>
    <x v="9"/>
    <x v="0"/>
    <x v="8"/>
    <n v="13"/>
    <n v="3199"/>
    <n v="670"/>
    <n v="2529"/>
    <n v="1200"/>
    <n v="4.8"/>
    <n v="1329"/>
  </r>
  <r>
    <x v="4"/>
    <x v="10"/>
    <x v="10"/>
    <x v="2"/>
    <x v="9"/>
    <n v="23"/>
    <n v="4736"/>
    <n v="850"/>
    <n v="3886"/>
    <n v="1400"/>
    <n v="4.7"/>
    <n v="2486"/>
  </r>
  <r>
    <x v="5"/>
    <x v="11"/>
    <x v="11"/>
    <x v="0"/>
    <x v="10"/>
    <n v="21"/>
    <n v="5791"/>
    <n v="1270"/>
    <n v="4521"/>
    <n v="1420"/>
    <n v="4.7"/>
    <n v="3101"/>
  </r>
  <r>
    <x v="6"/>
    <x v="0"/>
    <x v="0"/>
    <x v="1"/>
    <x v="11"/>
    <n v="15"/>
    <n v="3633"/>
    <n v="730"/>
    <n v="2903"/>
    <n v="1230"/>
    <n v="4.7"/>
    <n v="1673"/>
  </r>
  <r>
    <x v="7"/>
    <x v="1"/>
    <x v="1"/>
    <x v="2"/>
    <x v="2"/>
    <n v="14"/>
    <n v="3599"/>
    <n v="720"/>
    <n v="2879"/>
    <n v="1180"/>
    <n v="4.8"/>
    <n v="1699"/>
  </r>
  <r>
    <x v="8"/>
    <x v="2"/>
    <x v="2"/>
    <x v="1"/>
    <x v="12"/>
    <n v="10"/>
    <n v="2327"/>
    <n v="440"/>
    <n v="1887"/>
    <n v="960"/>
    <n v="4.4000000000000004"/>
    <n v="927"/>
  </r>
  <r>
    <x v="9"/>
    <x v="3"/>
    <x v="3"/>
    <x v="0"/>
    <x v="13"/>
    <n v="16"/>
    <n v="4273"/>
    <n v="850"/>
    <n v="3423"/>
    <n v="1250"/>
    <n v="4.3"/>
    <n v="2173"/>
  </r>
  <r>
    <x v="30"/>
    <x v="4"/>
    <x v="4"/>
    <x v="1"/>
    <x v="2"/>
    <n v="16"/>
    <n v="4149"/>
    <n v="910"/>
    <n v="3239"/>
    <n v="1180"/>
    <n v="4.8"/>
    <n v="2059"/>
  </r>
  <r>
    <x v="31"/>
    <x v="3"/>
    <x v="3"/>
    <x v="0"/>
    <x v="10"/>
    <n v="15"/>
    <n v="4249"/>
    <n v="760"/>
    <n v="3489"/>
    <n v="1350"/>
    <n v="4.5"/>
    <n v="2139"/>
  </r>
  <r>
    <x v="32"/>
    <x v="2"/>
    <x v="2"/>
    <x v="0"/>
    <x v="1"/>
    <n v="26"/>
    <n v="6677"/>
    <n v="1400"/>
    <n v="5277"/>
    <n v="1480"/>
    <n v="4.5999999999999996"/>
    <n v="3797"/>
  </r>
  <r>
    <x v="33"/>
    <x v="1"/>
    <x v="1"/>
    <x v="2"/>
    <x v="9"/>
    <n v="12"/>
    <n v="2918"/>
    <n v="640"/>
    <n v="2278"/>
    <n v="1150"/>
    <n v="4.4000000000000004"/>
    <n v="1128"/>
  </r>
  <r>
    <x v="34"/>
    <x v="0"/>
    <x v="0"/>
    <x v="0"/>
    <x v="0"/>
    <n v="13"/>
    <n v="2769"/>
    <n v="550"/>
    <n v="2219"/>
    <n v="1290"/>
    <n v="4.5"/>
    <n v="929"/>
  </r>
  <r>
    <x v="35"/>
    <x v="11"/>
    <x v="11"/>
    <x v="0"/>
    <x v="8"/>
    <n v="14"/>
    <n v="2996"/>
    <n v="570"/>
    <n v="2426"/>
    <n v="1250"/>
    <n v="4.7"/>
    <n v="1176"/>
  </r>
  <r>
    <x v="36"/>
    <x v="10"/>
    <x v="10"/>
    <x v="0"/>
    <x v="15"/>
    <n v="19"/>
    <n v="4404"/>
    <n v="840"/>
    <n v="3564"/>
    <n v="1420"/>
    <n v="4.4000000000000004"/>
    <n v="2144"/>
  </r>
  <r>
    <x v="37"/>
    <x v="9"/>
    <x v="9"/>
    <x v="3"/>
    <x v="7"/>
    <n v="11"/>
    <n v="2706"/>
    <n v="540"/>
    <n v="2166"/>
    <n v="1070"/>
    <n v="4.5"/>
    <n v="1096"/>
  </r>
  <r>
    <x v="38"/>
    <x v="8"/>
    <x v="8"/>
    <x v="2"/>
    <x v="14"/>
    <n v="12"/>
    <n v="2911"/>
    <n v="610"/>
    <n v="2301"/>
    <n v="1170"/>
    <n v="4.4000000000000004"/>
    <n v="1131"/>
  </r>
  <r>
    <x v="39"/>
    <x v="7"/>
    <x v="7"/>
    <x v="2"/>
    <x v="6"/>
    <n v="15"/>
    <n v="3869"/>
    <n v="740"/>
    <n v="3129"/>
    <n v="1290"/>
    <n v="4.5"/>
    <n v="1839"/>
  </r>
  <r>
    <x v="40"/>
    <x v="6"/>
    <x v="6"/>
    <x v="0"/>
    <x v="13"/>
    <n v="25"/>
    <n v="5659"/>
    <n v="1080"/>
    <n v="4579"/>
    <n v="1490"/>
    <n v="4.3"/>
    <n v="3089"/>
  </r>
  <r>
    <x v="41"/>
    <x v="5"/>
    <x v="5"/>
    <x v="1"/>
    <x v="5"/>
    <n v="26"/>
    <n v="6684"/>
    <n v="1270"/>
    <n v="5414"/>
    <n v="1570"/>
    <n v="4.3"/>
    <n v="3844"/>
  </r>
  <r>
    <x v="42"/>
    <x v="4"/>
    <x v="4"/>
    <x v="1"/>
    <x v="12"/>
    <n v="22"/>
    <n v="6044"/>
    <n v="1210"/>
    <n v="4834"/>
    <n v="1290"/>
    <n v="4.5"/>
    <n v="3544"/>
  </r>
  <r>
    <x v="43"/>
    <x v="3"/>
    <x v="3"/>
    <x v="1"/>
    <x v="4"/>
    <n v="14"/>
    <n v="2999"/>
    <n v="570"/>
    <n v="2429"/>
    <n v="1160"/>
    <n v="4.7"/>
    <n v="1269"/>
  </r>
  <r>
    <x v="44"/>
    <x v="2"/>
    <x v="2"/>
    <x v="2"/>
    <x v="2"/>
    <n v="22"/>
    <n v="5980"/>
    <n v="1260"/>
    <n v="4720"/>
    <n v="1380"/>
    <n v="4.4000000000000004"/>
    <n v="3340"/>
  </r>
  <r>
    <x v="45"/>
    <x v="1"/>
    <x v="1"/>
    <x v="1"/>
    <x v="3"/>
    <n v="25"/>
    <n v="6836"/>
    <n v="1440"/>
    <n v="5396"/>
    <n v="1790"/>
    <n v="4.5999999999999996"/>
    <n v="3606"/>
  </r>
  <r>
    <x v="46"/>
    <x v="0"/>
    <x v="0"/>
    <x v="1"/>
    <x v="11"/>
    <n v="26"/>
    <n v="6478"/>
    <n v="1230"/>
    <n v="5248"/>
    <n v="1490"/>
    <n v="4.9000000000000004"/>
    <n v="3758"/>
  </r>
  <r>
    <x v="47"/>
    <x v="11"/>
    <x v="11"/>
    <x v="1"/>
    <x v="2"/>
    <n v="20"/>
    <n v="4339"/>
    <n v="910"/>
    <n v="3429"/>
    <n v="1390"/>
    <n v="4.5999999999999996"/>
    <n v="2039"/>
  </r>
  <r>
    <x v="48"/>
    <x v="10"/>
    <x v="10"/>
    <x v="0"/>
    <x v="10"/>
    <n v="12"/>
    <n v="2707"/>
    <n v="570"/>
    <n v="2137"/>
    <n v="1220"/>
    <n v="4.3"/>
    <n v="917"/>
  </r>
  <r>
    <x v="49"/>
    <x v="9"/>
    <x v="9"/>
    <x v="0"/>
    <x v="1"/>
    <n v="24"/>
    <n v="6845"/>
    <n v="1300"/>
    <n v="5545"/>
    <n v="1500"/>
    <n v="4.5999999999999996"/>
    <n v="4045"/>
  </r>
  <r>
    <x v="50"/>
    <x v="8"/>
    <x v="8"/>
    <x v="2"/>
    <x v="9"/>
    <n v="24"/>
    <n v="6496"/>
    <n v="1360"/>
    <n v="5136"/>
    <n v="1400"/>
    <n v="4.9000000000000004"/>
    <n v="3736"/>
  </r>
  <r>
    <x v="51"/>
    <x v="7"/>
    <x v="7"/>
    <x v="0"/>
    <x v="0"/>
    <n v="24"/>
    <n v="5491"/>
    <n v="1040"/>
    <n v="4451"/>
    <n v="1530"/>
    <n v="4.3"/>
    <n v="2921"/>
  </r>
  <r>
    <x v="52"/>
    <x v="6"/>
    <x v="6"/>
    <x v="0"/>
    <x v="8"/>
    <n v="13"/>
    <n v="2912"/>
    <n v="550"/>
    <n v="2362"/>
    <n v="1100"/>
    <n v="4.5"/>
    <n v="1262"/>
  </r>
  <r>
    <x v="53"/>
    <x v="5"/>
    <x v="5"/>
    <x v="0"/>
    <x v="15"/>
    <n v="23"/>
    <n v="6174"/>
    <n v="1300"/>
    <n v="4874"/>
    <n v="1580"/>
    <n v="4.5"/>
    <n v="3294"/>
  </r>
  <r>
    <x v="54"/>
    <x v="4"/>
    <x v="4"/>
    <x v="3"/>
    <x v="7"/>
    <n v="21"/>
    <n v="5063"/>
    <n v="960"/>
    <n v="4103"/>
    <n v="1460"/>
    <n v="4.8"/>
    <n v="2643"/>
  </r>
  <r>
    <x v="55"/>
    <x v="3"/>
    <x v="3"/>
    <x v="2"/>
    <x v="14"/>
    <n v="24"/>
    <n v="5941"/>
    <n v="1250"/>
    <n v="4691"/>
    <n v="1420"/>
    <n v="4.7"/>
    <n v="3271"/>
  </r>
  <r>
    <x v="56"/>
    <x v="2"/>
    <x v="2"/>
    <x v="2"/>
    <x v="6"/>
    <n v="14"/>
    <n v="3562"/>
    <n v="780"/>
    <n v="2782"/>
    <n v="1180"/>
    <n v="4.4000000000000004"/>
    <n v="1602"/>
  </r>
  <r>
    <x v="57"/>
    <x v="1"/>
    <x v="1"/>
    <x v="0"/>
    <x v="13"/>
    <n v="26"/>
    <n v="7518"/>
    <n v="1430"/>
    <n v="6088"/>
    <n v="1490"/>
    <n v="4.7"/>
    <n v="4598"/>
  </r>
  <r>
    <x v="58"/>
    <x v="0"/>
    <x v="0"/>
    <x v="1"/>
    <x v="5"/>
    <n v="12"/>
    <n v="3225"/>
    <n v="580"/>
    <n v="2645"/>
    <n v="1210"/>
    <n v="4.5999999999999996"/>
    <n v="1435"/>
  </r>
  <r>
    <x v="59"/>
    <x v="11"/>
    <x v="11"/>
    <x v="1"/>
    <x v="12"/>
    <n v="18"/>
    <n v="5131"/>
    <n v="1080"/>
    <n v="4051"/>
    <n v="1370"/>
    <n v="4.5999999999999996"/>
    <n v="2681"/>
  </r>
  <r>
    <x v="30"/>
    <x v="10"/>
    <x v="10"/>
    <x v="1"/>
    <x v="4"/>
    <n v="23"/>
    <n v="5443"/>
    <n v="980"/>
    <n v="4463"/>
    <n v="1430"/>
    <n v="4.7"/>
    <n v="3033"/>
  </r>
  <r>
    <x v="31"/>
    <x v="9"/>
    <x v="9"/>
    <x v="2"/>
    <x v="2"/>
    <n v="21"/>
    <n v="5034"/>
    <n v="910"/>
    <n v="4124"/>
    <n v="1380"/>
    <n v="4.5999999999999996"/>
    <n v="2744"/>
  </r>
  <r>
    <x v="32"/>
    <x v="8"/>
    <x v="8"/>
    <x v="1"/>
    <x v="3"/>
    <n v="26"/>
    <n v="5723"/>
    <n v="1090"/>
    <n v="4633"/>
    <n v="1590"/>
    <n v="4.7"/>
    <n v="3043"/>
  </r>
  <r>
    <x v="33"/>
    <x v="7"/>
    <x v="7"/>
    <x v="1"/>
    <x v="11"/>
    <n v="23"/>
    <n v="5003"/>
    <n v="900"/>
    <n v="4103"/>
    <n v="1530"/>
    <n v="4.4000000000000004"/>
    <n v="2573"/>
  </r>
  <r>
    <x v="34"/>
    <x v="6"/>
    <x v="6"/>
    <x v="1"/>
    <x v="2"/>
    <n v="18"/>
    <n v="4347"/>
    <n v="830"/>
    <n v="3517"/>
    <n v="1430"/>
    <n v="4.3"/>
    <n v="2087"/>
  </r>
  <r>
    <x v="35"/>
    <x v="5"/>
    <x v="5"/>
    <x v="0"/>
    <x v="10"/>
    <n v="12"/>
    <n v="2811"/>
    <n v="560"/>
    <n v="2251"/>
    <n v="1050"/>
    <n v="4.5999999999999996"/>
    <n v="1201"/>
  </r>
  <r>
    <x v="36"/>
    <x v="4"/>
    <x v="4"/>
    <x v="0"/>
    <x v="1"/>
    <n v="23"/>
    <n v="6380"/>
    <n v="1340"/>
    <n v="5040"/>
    <n v="1560"/>
    <n v="4.4000000000000004"/>
    <n v="3480"/>
  </r>
  <r>
    <x v="37"/>
    <x v="3"/>
    <x v="3"/>
    <x v="2"/>
    <x v="9"/>
    <n v="14"/>
    <n v="3132"/>
    <n v="600"/>
    <n v="2532"/>
    <n v="1160"/>
    <n v="4.5"/>
    <n v="1372"/>
  </r>
  <r>
    <x v="38"/>
    <x v="2"/>
    <x v="2"/>
    <x v="0"/>
    <x v="0"/>
    <n v="17"/>
    <n v="4276"/>
    <n v="860"/>
    <n v="3416"/>
    <n v="1430"/>
    <n v="4.5999999999999996"/>
    <n v="1986"/>
  </r>
  <r>
    <x v="39"/>
    <x v="1"/>
    <x v="1"/>
    <x v="0"/>
    <x v="8"/>
    <n v="28"/>
    <n v="7572"/>
    <n v="1360"/>
    <n v="6212"/>
    <n v="1820"/>
    <n v="4.5"/>
    <n v="4392"/>
  </r>
  <r>
    <x v="40"/>
    <x v="0"/>
    <x v="0"/>
    <x v="0"/>
    <x v="15"/>
    <n v="23"/>
    <n v="6110"/>
    <n v="1160"/>
    <n v="4950"/>
    <n v="1320"/>
    <n v="4.3"/>
    <n v="3630"/>
  </r>
  <r>
    <x v="41"/>
    <x v="11"/>
    <x v="11"/>
    <x v="3"/>
    <x v="7"/>
    <n v="25"/>
    <n v="5318"/>
    <n v="1060"/>
    <n v="4258"/>
    <n v="1690"/>
    <n v="4.5"/>
    <n v="2568"/>
  </r>
  <r>
    <x v="42"/>
    <x v="10"/>
    <x v="10"/>
    <x v="2"/>
    <x v="14"/>
    <n v="18"/>
    <n v="5003"/>
    <n v="1050"/>
    <n v="3953"/>
    <n v="1510"/>
    <n v="4.5"/>
    <n v="2443"/>
  </r>
  <r>
    <x v="43"/>
    <x v="9"/>
    <x v="9"/>
    <x v="2"/>
    <x v="6"/>
    <n v="28"/>
    <n v="6526"/>
    <n v="1440"/>
    <n v="5086"/>
    <n v="1820"/>
    <n v="4.4000000000000004"/>
    <n v="3266"/>
  </r>
  <r>
    <x v="44"/>
    <x v="8"/>
    <x v="8"/>
    <x v="0"/>
    <x v="13"/>
    <n v="24"/>
    <n v="6189"/>
    <n v="1360"/>
    <n v="4829"/>
    <n v="1690"/>
    <n v="4.8"/>
    <n v="3139"/>
  </r>
  <r>
    <x v="45"/>
    <x v="7"/>
    <x v="7"/>
    <x v="1"/>
    <x v="5"/>
    <n v="12"/>
    <n v="2974"/>
    <n v="570"/>
    <n v="2404"/>
    <n v="1110"/>
    <n v="4.5"/>
    <n v="1294"/>
  </r>
  <r>
    <x v="46"/>
    <x v="6"/>
    <x v="6"/>
    <x v="1"/>
    <x v="12"/>
    <n v="23"/>
    <n v="6330"/>
    <n v="1270"/>
    <n v="5060"/>
    <n v="1400"/>
    <n v="4.8"/>
    <n v="3660"/>
  </r>
  <r>
    <x v="47"/>
    <x v="5"/>
    <x v="5"/>
    <x v="1"/>
    <x v="4"/>
    <n v="27"/>
    <n v="6693"/>
    <n v="1410"/>
    <n v="5283"/>
    <n v="1430"/>
    <n v="4.8"/>
    <n v="3853"/>
  </r>
  <r>
    <x v="48"/>
    <x v="4"/>
    <x v="4"/>
    <x v="2"/>
    <x v="2"/>
    <n v="28"/>
    <n v="6085"/>
    <n v="1100"/>
    <n v="4985"/>
    <n v="1550"/>
    <n v="4.4000000000000004"/>
    <n v="3435"/>
  </r>
  <r>
    <x v="49"/>
    <x v="3"/>
    <x v="3"/>
    <x v="1"/>
    <x v="3"/>
    <n v="25"/>
    <n v="6660"/>
    <n v="1200"/>
    <n v="5460"/>
    <n v="1810"/>
    <n v="4.5999999999999996"/>
    <n v="3650"/>
  </r>
  <r>
    <x v="50"/>
    <x v="2"/>
    <x v="2"/>
    <x v="1"/>
    <x v="11"/>
    <n v="20"/>
    <n v="5601"/>
    <n v="1010"/>
    <n v="4591"/>
    <n v="1240"/>
    <n v="4.8"/>
    <n v="3351"/>
  </r>
  <r>
    <x v="51"/>
    <x v="1"/>
    <x v="1"/>
    <x v="1"/>
    <x v="2"/>
    <n v="25"/>
    <n v="6874"/>
    <n v="1370"/>
    <n v="5504"/>
    <n v="1570"/>
    <n v="4.3"/>
    <n v="3934"/>
  </r>
  <r>
    <x v="52"/>
    <x v="0"/>
    <x v="0"/>
    <x v="0"/>
    <x v="10"/>
    <n v="14"/>
    <n v="3274"/>
    <n v="720"/>
    <n v="2554"/>
    <n v="1250"/>
    <n v="4.5999999999999996"/>
    <n v="1304"/>
  </r>
  <r>
    <x v="53"/>
    <x v="11"/>
    <x v="11"/>
    <x v="0"/>
    <x v="1"/>
    <n v="23"/>
    <n v="5771"/>
    <n v="1210"/>
    <n v="4561"/>
    <n v="1550"/>
    <n v="4.9000000000000004"/>
    <n v="3011"/>
  </r>
  <r>
    <x v="54"/>
    <x v="10"/>
    <x v="10"/>
    <x v="2"/>
    <x v="9"/>
    <n v="19"/>
    <n v="4851"/>
    <n v="970"/>
    <n v="3881"/>
    <n v="1330"/>
    <n v="4.4000000000000004"/>
    <n v="2551"/>
  </r>
  <r>
    <x v="55"/>
    <x v="9"/>
    <x v="9"/>
    <x v="0"/>
    <x v="0"/>
    <n v="15"/>
    <n v="3702"/>
    <n v="810"/>
    <n v="2892"/>
    <n v="1310"/>
    <n v="4.8"/>
    <n v="1582"/>
  </r>
  <r>
    <x v="56"/>
    <x v="8"/>
    <x v="8"/>
    <x v="0"/>
    <x v="8"/>
    <n v="20"/>
    <n v="4754"/>
    <n v="1050"/>
    <n v="3704"/>
    <n v="1470"/>
    <n v="4.5"/>
    <n v="2234"/>
  </r>
  <r>
    <x v="57"/>
    <x v="7"/>
    <x v="7"/>
    <x v="0"/>
    <x v="15"/>
    <n v="23"/>
    <n v="5511"/>
    <n v="1100"/>
    <n v="4411"/>
    <n v="1410"/>
    <n v="4.8"/>
    <n v="3001"/>
  </r>
  <r>
    <x v="58"/>
    <x v="6"/>
    <x v="6"/>
    <x v="3"/>
    <x v="7"/>
    <n v="23"/>
    <n v="5797"/>
    <n v="1160"/>
    <n v="4637"/>
    <n v="1280"/>
    <n v="4.5999999999999996"/>
    <n v="3357"/>
  </r>
  <r>
    <x v="59"/>
    <x v="5"/>
    <x v="5"/>
    <x v="2"/>
    <x v="14"/>
    <n v="18"/>
    <n v="5005"/>
    <n v="1050"/>
    <n v="3955"/>
    <n v="1510"/>
    <n v="4.7"/>
    <n v="2445"/>
  </r>
  <r>
    <x v="30"/>
    <x v="4"/>
    <x v="4"/>
    <x v="2"/>
    <x v="6"/>
    <n v="16"/>
    <n v="4503"/>
    <n v="860"/>
    <n v="3643"/>
    <n v="1230"/>
    <n v="4.5"/>
    <n v="2413"/>
  </r>
  <r>
    <x v="31"/>
    <x v="3"/>
    <x v="3"/>
    <x v="0"/>
    <x v="13"/>
    <n v="27"/>
    <n v="6276"/>
    <n v="1260"/>
    <n v="5016"/>
    <n v="1690"/>
    <n v="4.7"/>
    <n v="3326"/>
  </r>
  <r>
    <x v="32"/>
    <x v="2"/>
    <x v="2"/>
    <x v="1"/>
    <x v="5"/>
    <n v="14"/>
    <n v="3887"/>
    <n v="700"/>
    <n v="3187"/>
    <n v="1210"/>
    <n v="4.5999999999999996"/>
    <n v="1977"/>
  </r>
  <r>
    <x v="33"/>
    <x v="1"/>
    <x v="1"/>
    <x v="1"/>
    <x v="12"/>
    <n v="14"/>
    <n v="3674"/>
    <n v="700"/>
    <n v="2974"/>
    <n v="1070"/>
    <n v="4.5"/>
    <n v="1904"/>
  </r>
  <r>
    <x v="34"/>
    <x v="0"/>
    <x v="0"/>
    <x v="1"/>
    <x v="4"/>
    <n v="13"/>
    <n v="2948"/>
    <n v="590"/>
    <n v="2358"/>
    <n v="1130"/>
    <n v="4.7"/>
    <n v="1228"/>
  </r>
  <r>
    <x v="35"/>
    <x v="11"/>
    <x v="11"/>
    <x v="2"/>
    <x v="2"/>
    <n v="13"/>
    <n v="2855"/>
    <n v="570"/>
    <n v="2285"/>
    <n v="1220"/>
    <n v="4.5999999999999996"/>
    <n v="1065"/>
  </r>
  <r>
    <x v="36"/>
    <x v="10"/>
    <x v="10"/>
    <x v="1"/>
    <x v="3"/>
    <n v="20"/>
    <n v="5620"/>
    <n v="1180"/>
    <n v="4440"/>
    <n v="1600"/>
    <n v="4.5999999999999996"/>
    <n v="2840"/>
  </r>
  <r>
    <x v="37"/>
    <x v="9"/>
    <x v="9"/>
    <x v="1"/>
    <x v="11"/>
    <n v="21"/>
    <n v="5089"/>
    <n v="1120"/>
    <n v="3969"/>
    <n v="1350"/>
    <n v="4.7"/>
    <n v="2619"/>
  </r>
  <r>
    <x v="38"/>
    <x v="8"/>
    <x v="8"/>
    <x v="1"/>
    <x v="2"/>
    <n v="16"/>
    <n v="4376"/>
    <n v="880"/>
    <n v="3496"/>
    <n v="1230"/>
    <n v="4.5"/>
    <n v="2266"/>
  </r>
  <r>
    <x v="39"/>
    <x v="7"/>
    <x v="7"/>
    <x v="0"/>
    <x v="10"/>
    <n v="18"/>
    <n v="4329"/>
    <n v="780"/>
    <n v="3549"/>
    <n v="1360"/>
    <n v="4.5"/>
    <n v="2189"/>
  </r>
  <r>
    <x v="40"/>
    <x v="6"/>
    <x v="6"/>
    <x v="0"/>
    <x v="1"/>
    <n v="12"/>
    <n v="3279"/>
    <n v="720"/>
    <n v="2559"/>
    <n v="1150"/>
    <n v="4.5999999999999996"/>
    <n v="1409"/>
  </r>
  <r>
    <x v="41"/>
    <x v="5"/>
    <x v="5"/>
    <x v="2"/>
    <x v="9"/>
    <n v="24"/>
    <n v="6793"/>
    <n v="1290"/>
    <n v="5503"/>
    <n v="1730"/>
    <n v="4.5"/>
    <n v="3773"/>
  </r>
  <r>
    <x v="42"/>
    <x v="4"/>
    <x v="4"/>
    <x v="0"/>
    <x v="0"/>
    <n v="19"/>
    <n v="4370"/>
    <n v="870"/>
    <n v="3500"/>
    <n v="1470"/>
    <n v="4.7"/>
    <n v="2030"/>
  </r>
  <r>
    <x v="43"/>
    <x v="3"/>
    <x v="3"/>
    <x v="0"/>
    <x v="8"/>
    <n v="21"/>
    <n v="5386"/>
    <n v="1020"/>
    <n v="4366"/>
    <n v="1320"/>
    <n v="4.7"/>
    <n v="3046"/>
  </r>
  <r>
    <x v="44"/>
    <x v="2"/>
    <x v="2"/>
    <x v="0"/>
    <x v="15"/>
    <n v="13"/>
    <n v="2993"/>
    <n v="600"/>
    <n v="2393"/>
    <n v="1220"/>
    <n v="4.8"/>
    <n v="1173"/>
  </r>
  <r>
    <x v="45"/>
    <x v="1"/>
    <x v="1"/>
    <x v="3"/>
    <x v="7"/>
    <n v="21"/>
    <n v="4629"/>
    <n v="930"/>
    <n v="3699"/>
    <n v="1500"/>
    <n v="4.5999999999999996"/>
    <n v="2199"/>
  </r>
  <r>
    <x v="46"/>
    <x v="0"/>
    <x v="0"/>
    <x v="2"/>
    <x v="14"/>
    <n v="22"/>
    <n v="6272"/>
    <n v="1190"/>
    <n v="5082"/>
    <n v="1570"/>
    <n v="4.8"/>
    <n v="3512"/>
  </r>
  <r>
    <x v="47"/>
    <x v="11"/>
    <x v="11"/>
    <x v="2"/>
    <x v="6"/>
    <n v="26"/>
    <n v="5806"/>
    <n v="1050"/>
    <n v="4756"/>
    <n v="1390"/>
    <n v="4.3"/>
    <n v="3366"/>
  </r>
  <r>
    <x v="48"/>
    <x v="10"/>
    <x v="10"/>
    <x v="0"/>
    <x v="13"/>
    <n v="20"/>
    <n v="4631"/>
    <n v="930"/>
    <n v="3701"/>
    <n v="1390"/>
    <n v="4.7"/>
    <n v="2311"/>
  </r>
  <r>
    <x v="49"/>
    <x v="9"/>
    <x v="9"/>
    <x v="1"/>
    <x v="5"/>
    <n v="13"/>
    <n v="3540"/>
    <n v="670"/>
    <n v="2870"/>
    <n v="1140"/>
    <n v="4.9000000000000004"/>
    <n v="1730"/>
  </r>
  <r>
    <x v="50"/>
    <x v="8"/>
    <x v="8"/>
    <x v="1"/>
    <x v="12"/>
    <n v="28"/>
    <n v="7361"/>
    <n v="1620"/>
    <n v="5741"/>
    <n v="1530"/>
    <n v="4.9000000000000004"/>
    <n v="4211"/>
  </r>
  <r>
    <x v="51"/>
    <x v="7"/>
    <x v="7"/>
    <x v="1"/>
    <x v="4"/>
    <n v="26"/>
    <n v="6489"/>
    <n v="1430"/>
    <n v="5059"/>
    <n v="1710"/>
    <n v="4.8"/>
    <n v="3349"/>
  </r>
  <r>
    <x v="52"/>
    <x v="6"/>
    <x v="6"/>
    <x v="2"/>
    <x v="2"/>
    <n v="28"/>
    <n v="7721"/>
    <n v="1540"/>
    <n v="6181"/>
    <n v="1620"/>
    <n v="4.3"/>
    <n v="4561"/>
  </r>
  <r>
    <x v="53"/>
    <x v="5"/>
    <x v="5"/>
    <x v="1"/>
    <x v="3"/>
    <n v="22"/>
    <n v="5612"/>
    <n v="1010"/>
    <n v="4602"/>
    <n v="1260"/>
    <n v="4.9000000000000004"/>
    <n v="3342"/>
  </r>
  <r>
    <x v="54"/>
    <x v="4"/>
    <x v="4"/>
    <x v="1"/>
    <x v="11"/>
    <n v="28"/>
    <n v="6613"/>
    <n v="1190"/>
    <n v="5423"/>
    <n v="1860"/>
    <n v="4.7"/>
    <n v="3563"/>
  </r>
  <r>
    <x v="55"/>
    <x v="3"/>
    <x v="3"/>
    <x v="1"/>
    <x v="2"/>
    <n v="27"/>
    <n v="6754"/>
    <n v="1280"/>
    <n v="5474"/>
    <n v="1700"/>
    <n v="4.8"/>
    <n v="3774"/>
  </r>
  <r>
    <x v="56"/>
    <x v="2"/>
    <x v="2"/>
    <x v="0"/>
    <x v="10"/>
    <n v="14"/>
    <n v="3103"/>
    <n v="680"/>
    <n v="2423"/>
    <n v="1290"/>
    <n v="4.7"/>
    <n v="1133"/>
  </r>
  <r>
    <x v="57"/>
    <x v="1"/>
    <x v="1"/>
    <x v="0"/>
    <x v="1"/>
    <n v="19"/>
    <n v="5386"/>
    <n v="1020"/>
    <n v="4366"/>
    <n v="1320"/>
    <n v="4.5999999999999996"/>
    <n v="3046"/>
  </r>
  <r>
    <x v="58"/>
    <x v="0"/>
    <x v="0"/>
    <x v="2"/>
    <x v="9"/>
    <n v="19"/>
    <n v="5271"/>
    <n v="1160"/>
    <n v="4111"/>
    <n v="1210"/>
    <n v="4.8"/>
    <n v="2901"/>
  </r>
  <r>
    <x v="59"/>
    <x v="11"/>
    <x v="11"/>
    <x v="0"/>
    <x v="0"/>
    <n v="12"/>
    <n v="3218"/>
    <n v="640"/>
    <n v="2578"/>
    <n v="1130"/>
    <n v="4.5"/>
    <n v="1448"/>
  </r>
  <r>
    <x v="30"/>
    <x v="10"/>
    <x v="10"/>
    <x v="0"/>
    <x v="8"/>
    <n v="11"/>
    <n v="2892"/>
    <n v="520"/>
    <n v="2372"/>
    <n v="1160"/>
    <n v="4.4000000000000004"/>
    <n v="1212"/>
  </r>
  <r>
    <x v="31"/>
    <x v="9"/>
    <x v="9"/>
    <x v="0"/>
    <x v="15"/>
    <n v="17"/>
    <n v="4136"/>
    <n v="910"/>
    <n v="3226"/>
    <n v="1250"/>
    <n v="4.8"/>
    <n v="1976"/>
  </r>
  <r>
    <x v="32"/>
    <x v="8"/>
    <x v="8"/>
    <x v="3"/>
    <x v="7"/>
    <n v="14"/>
    <n v="3631"/>
    <n v="800"/>
    <n v="2831"/>
    <n v="1230"/>
    <n v="4.8"/>
    <n v="1601"/>
  </r>
  <r>
    <x v="33"/>
    <x v="7"/>
    <x v="7"/>
    <x v="2"/>
    <x v="14"/>
    <n v="21"/>
    <n v="5140"/>
    <n v="1130"/>
    <n v="4010"/>
    <n v="1400"/>
    <n v="4.9000000000000004"/>
    <n v="2610"/>
  </r>
  <r>
    <x v="34"/>
    <x v="6"/>
    <x v="6"/>
    <x v="2"/>
    <x v="6"/>
    <n v="16"/>
    <n v="3876"/>
    <n v="850"/>
    <n v="3026"/>
    <n v="1310"/>
    <n v="4.7"/>
    <n v="1716"/>
  </r>
  <r>
    <x v="35"/>
    <x v="5"/>
    <x v="5"/>
    <x v="0"/>
    <x v="13"/>
    <n v="14"/>
    <n v="3433"/>
    <n v="720"/>
    <n v="2713"/>
    <n v="1100"/>
    <n v="4.5999999999999996"/>
    <n v="1613"/>
  </r>
  <r>
    <x v="36"/>
    <x v="4"/>
    <x v="4"/>
    <x v="1"/>
    <x v="5"/>
    <n v="24"/>
    <n v="5534"/>
    <n v="1220"/>
    <n v="4314"/>
    <n v="1620"/>
    <n v="4.5"/>
    <n v="2694"/>
  </r>
  <r>
    <x v="37"/>
    <x v="3"/>
    <x v="3"/>
    <x v="1"/>
    <x v="12"/>
    <n v="25"/>
    <n v="6638"/>
    <n v="1460"/>
    <n v="5178"/>
    <n v="1440"/>
    <n v="4.5"/>
    <n v="3738"/>
  </r>
  <r>
    <x v="38"/>
    <x v="2"/>
    <x v="2"/>
    <x v="1"/>
    <x v="4"/>
    <n v="26"/>
    <n v="6296"/>
    <n v="1320"/>
    <n v="4976"/>
    <n v="1520"/>
    <n v="4.8"/>
    <n v="3456"/>
  </r>
  <r>
    <x v="39"/>
    <x v="1"/>
    <x v="1"/>
    <x v="2"/>
    <x v="2"/>
    <n v="12"/>
    <n v="3026"/>
    <n v="640"/>
    <n v="2386"/>
    <n v="1220"/>
    <n v="4.7"/>
    <n v="1166"/>
  </r>
  <r>
    <x v="60"/>
    <x v="2"/>
    <x v="2"/>
    <x v="3"/>
    <x v="7"/>
    <n v="21"/>
    <n v="4673"/>
    <n v="890"/>
    <n v="3783"/>
    <n v="1580"/>
    <n v="4.5"/>
    <n v="2203"/>
  </r>
  <r>
    <x v="61"/>
    <x v="3"/>
    <x v="3"/>
    <x v="0"/>
    <x v="8"/>
    <n v="13"/>
    <n v="3111"/>
    <n v="620"/>
    <n v="2491"/>
    <n v="1300"/>
    <n v="4.8"/>
    <n v="1191"/>
  </r>
  <r>
    <x v="62"/>
    <x v="4"/>
    <x v="4"/>
    <x v="2"/>
    <x v="9"/>
    <n v="16"/>
    <n v="4475"/>
    <n v="810"/>
    <n v="3665"/>
    <n v="1170"/>
    <n v="4.5999999999999996"/>
    <n v="2495"/>
  </r>
  <r>
    <x v="63"/>
    <x v="5"/>
    <x v="5"/>
    <x v="0"/>
    <x v="10"/>
    <n v="21"/>
    <n v="5303"/>
    <n v="1060"/>
    <n v="4243"/>
    <n v="1380"/>
    <n v="4.7"/>
    <n v="2863"/>
  </r>
  <r>
    <x v="64"/>
    <x v="6"/>
    <x v="6"/>
    <x v="1"/>
    <x v="11"/>
    <n v="26"/>
    <n v="5914"/>
    <n v="1060"/>
    <n v="4854"/>
    <n v="1640"/>
    <n v="4.7"/>
    <n v="3214"/>
  </r>
  <r>
    <x v="65"/>
    <x v="7"/>
    <x v="7"/>
    <x v="2"/>
    <x v="2"/>
    <n v="21"/>
    <n v="4959"/>
    <n v="1090"/>
    <n v="3869"/>
    <n v="1560"/>
    <n v="4.7"/>
    <n v="2309"/>
  </r>
  <r>
    <x v="66"/>
    <x v="8"/>
    <x v="8"/>
    <x v="1"/>
    <x v="12"/>
    <n v="16"/>
    <n v="4506"/>
    <n v="990"/>
    <n v="3516"/>
    <n v="1280"/>
    <n v="4.8"/>
    <n v="2236"/>
  </r>
  <r>
    <x v="67"/>
    <x v="9"/>
    <x v="9"/>
    <x v="0"/>
    <x v="13"/>
    <n v="28"/>
    <n v="6778"/>
    <n v="1420"/>
    <n v="5358"/>
    <n v="1750"/>
    <n v="4.7"/>
    <n v="3608"/>
  </r>
  <r>
    <x v="68"/>
    <x v="10"/>
    <x v="10"/>
    <x v="2"/>
    <x v="14"/>
    <n v="22"/>
    <n v="4987"/>
    <n v="1000"/>
    <n v="3987"/>
    <n v="1330"/>
    <n v="4.8"/>
    <n v="2657"/>
  </r>
  <r>
    <x v="69"/>
    <x v="11"/>
    <x v="11"/>
    <x v="0"/>
    <x v="15"/>
    <n v="17"/>
    <n v="4546"/>
    <n v="860"/>
    <n v="3686"/>
    <n v="1270"/>
    <n v="4.7"/>
    <n v="2416"/>
  </r>
  <r>
    <x v="70"/>
    <x v="0"/>
    <x v="0"/>
    <x v="0"/>
    <x v="0"/>
    <n v="13"/>
    <n v="3146"/>
    <n v="630"/>
    <n v="2516"/>
    <n v="1300"/>
    <n v="4.5999999999999996"/>
    <n v="1216"/>
  </r>
  <r>
    <x v="71"/>
    <x v="1"/>
    <x v="1"/>
    <x v="0"/>
    <x v="1"/>
    <n v="16"/>
    <n v="3798"/>
    <n v="720"/>
    <n v="3078"/>
    <n v="1270"/>
    <n v="4.4000000000000004"/>
    <n v="1808"/>
  </r>
  <r>
    <x v="72"/>
    <x v="2"/>
    <x v="2"/>
    <x v="1"/>
    <x v="2"/>
    <n v="14"/>
    <n v="3502"/>
    <n v="700"/>
    <n v="2802"/>
    <n v="1390"/>
    <n v="4.8"/>
    <n v="1412"/>
  </r>
  <r>
    <x v="73"/>
    <x v="3"/>
    <x v="3"/>
    <x v="1"/>
    <x v="3"/>
    <n v="25"/>
    <n v="7110"/>
    <n v="1560"/>
    <n v="5550"/>
    <n v="1690"/>
    <n v="4.3"/>
    <n v="3860"/>
  </r>
  <r>
    <x v="74"/>
    <x v="4"/>
    <x v="4"/>
    <x v="1"/>
    <x v="4"/>
    <n v="26"/>
    <n v="6641"/>
    <n v="1200"/>
    <n v="5441"/>
    <n v="1590"/>
    <n v="4.8"/>
    <n v="3851"/>
  </r>
  <r>
    <x v="75"/>
    <x v="5"/>
    <x v="5"/>
    <x v="1"/>
    <x v="5"/>
    <n v="28"/>
    <n v="7265"/>
    <n v="1450"/>
    <n v="5815"/>
    <n v="1420"/>
    <n v="4.5"/>
    <n v="4395"/>
  </r>
  <r>
    <x v="76"/>
    <x v="6"/>
    <x v="6"/>
    <x v="2"/>
    <x v="6"/>
    <n v="24"/>
    <n v="5772"/>
    <n v="1100"/>
    <n v="4672"/>
    <n v="1440"/>
    <n v="4.8"/>
    <n v="3232"/>
  </r>
  <r>
    <x v="77"/>
    <x v="7"/>
    <x v="7"/>
    <x v="3"/>
    <x v="7"/>
    <n v="19"/>
    <n v="4545"/>
    <n v="860"/>
    <n v="3685"/>
    <n v="1440"/>
    <n v="4.4000000000000004"/>
    <n v="2245"/>
  </r>
  <r>
    <x v="78"/>
    <x v="8"/>
    <x v="8"/>
    <x v="0"/>
    <x v="8"/>
    <n v="16"/>
    <n v="4362"/>
    <n v="920"/>
    <n v="3442"/>
    <n v="1320"/>
    <n v="4.8"/>
    <n v="2122"/>
  </r>
  <r>
    <x v="79"/>
    <x v="9"/>
    <x v="9"/>
    <x v="2"/>
    <x v="9"/>
    <n v="14"/>
    <n v="3287"/>
    <n v="690"/>
    <n v="2597"/>
    <n v="1320"/>
    <n v="4.5999999999999996"/>
    <n v="1277"/>
  </r>
  <r>
    <x v="60"/>
    <x v="10"/>
    <x v="10"/>
    <x v="0"/>
    <x v="10"/>
    <n v="27"/>
    <n v="7170"/>
    <n v="1430"/>
    <n v="5740"/>
    <n v="1580"/>
    <n v="4.8"/>
    <n v="4160"/>
  </r>
  <r>
    <x v="61"/>
    <x v="11"/>
    <x v="11"/>
    <x v="1"/>
    <x v="11"/>
    <n v="17"/>
    <n v="4142"/>
    <n v="870"/>
    <n v="3272"/>
    <n v="1200"/>
    <n v="4.5999999999999996"/>
    <n v="2072"/>
  </r>
  <r>
    <x v="62"/>
    <x v="0"/>
    <x v="0"/>
    <x v="2"/>
    <x v="2"/>
    <n v="18"/>
    <n v="5184"/>
    <n v="930"/>
    <n v="4254"/>
    <n v="1370"/>
    <n v="4.7"/>
    <n v="2884"/>
  </r>
  <r>
    <x v="63"/>
    <x v="1"/>
    <x v="1"/>
    <x v="1"/>
    <x v="12"/>
    <n v="15"/>
    <n v="4188"/>
    <n v="800"/>
    <n v="3388"/>
    <n v="1090"/>
    <n v="4.9000000000000004"/>
    <n v="2298"/>
  </r>
  <r>
    <x v="64"/>
    <x v="2"/>
    <x v="2"/>
    <x v="0"/>
    <x v="13"/>
    <n v="24"/>
    <n v="5870"/>
    <n v="1230"/>
    <n v="4640"/>
    <n v="1670"/>
    <n v="4.3"/>
    <n v="2970"/>
  </r>
  <r>
    <x v="65"/>
    <x v="3"/>
    <x v="3"/>
    <x v="2"/>
    <x v="14"/>
    <n v="19"/>
    <n v="4831"/>
    <n v="970"/>
    <n v="3861"/>
    <n v="1400"/>
    <n v="4.5999999999999996"/>
    <n v="2461"/>
  </r>
  <r>
    <x v="66"/>
    <x v="4"/>
    <x v="4"/>
    <x v="0"/>
    <x v="15"/>
    <n v="13"/>
    <n v="3494"/>
    <n v="730"/>
    <n v="2764"/>
    <n v="1190"/>
    <n v="4.7"/>
    <n v="1574"/>
  </r>
  <r>
    <x v="67"/>
    <x v="5"/>
    <x v="5"/>
    <x v="0"/>
    <x v="0"/>
    <n v="16"/>
    <n v="4304"/>
    <n v="900"/>
    <n v="3404"/>
    <n v="1240"/>
    <n v="4.4000000000000004"/>
    <n v="2164"/>
  </r>
  <r>
    <x v="68"/>
    <x v="6"/>
    <x v="6"/>
    <x v="0"/>
    <x v="1"/>
    <n v="20"/>
    <n v="5198"/>
    <n v="940"/>
    <n v="4258"/>
    <n v="1620"/>
    <n v="4.5"/>
    <n v="2638"/>
  </r>
  <r>
    <x v="69"/>
    <x v="7"/>
    <x v="7"/>
    <x v="1"/>
    <x v="2"/>
    <n v="28"/>
    <n v="7131"/>
    <n v="1570"/>
    <n v="5561"/>
    <n v="1650"/>
    <n v="4.9000000000000004"/>
    <n v="3911"/>
  </r>
  <r>
    <x v="70"/>
    <x v="8"/>
    <x v="8"/>
    <x v="1"/>
    <x v="3"/>
    <n v="27"/>
    <n v="6751"/>
    <n v="1350"/>
    <n v="5401"/>
    <n v="1720"/>
    <n v="4.7"/>
    <n v="3681"/>
  </r>
  <r>
    <x v="71"/>
    <x v="9"/>
    <x v="9"/>
    <x v="1"/>
    <x v="4"/>
    <n v="14"/>
    <n v="3711"/>
    <n v="740"/>
    <n v="2971"/>
    <n v="1370"/>
    <n v="4.8"/>
    <n v="1601"/>
  </r>
  <r>
    <x v="72"/>
    <x v="10"/>
    <x v="10"/>
    <x v="1"/>
    <x v="5"/>
    <n v="15"/>
    <n v="4034"/>
    <n v="850"/>
    <n v="3184"/>
    <n v="1150"/>
    <n v="4.5999999999999996"/>
    <n v="2034"/>
  </r>
  <r>
    <x v="73"/>
    <x v="11"/>
    <x v="11"/>
    <x v="2"/>
    <x v="6"/>
    <n v="12"/>
    <n v="3394"/>
    <n v="750"/>
    <n v="2644"/>
    <n v="1190"/>
    <n v="4.7"/>
    <n v="1454"/>
  </r>
  <r>
    <x v="74"/>
    <x v="0"/>
    <x v="0"/>
    <x v="3"/>
    <x v="7"/>
    <n v="14"/>
    <n v="3442"/>
    <n v="720"/>
    <n v="2722"/>
    <n v="1250"/>
    <n v="4.4000000000000004"/>
    <n v="1472"/>
  </r>
  <r>
    <x v="75"/>
    <x v="1"/>
    <x v="1"/>
    <x v="0"/>
    <x v="8"/>
    <n v="14"/>
    <n v="4126"/>
    <n v="910"/>
    <n v="3216"/>
    <n v="1230"/>
    <n v="4.5999999999999996"/>
    <n v="1986"/>
  </r>
  <r>
    <x v="76"/>
    <x v="2"/>
    <x v="2"/>
    <x v="2"/>
    <x v="9"/>
    <n v="13"/>
    <n v="3116"/>
    <n v="690"/>
    <n v="2426"/>
    <n v="1110"/>
    <n v="4.4000000000000004"/>
    <n v="1316"/>
  </r>
  <r>
    <x v="77"/>
    <x v="3"/>
    <x v="3"/>
    <x v="0"/>
    <x v="10"/>
    <n v="21"/>
    <n v="5734"/>
    <n v="1260"/>
    <n v="4474"/>
    <n v="1610"/>
    <n v="4.5999999999999996"/>
    <n v="2864"/>
  </r>
  <r>
    <x v="78"/>
    <x v="4"/>
    <x v="4"/>
    <x v="1"/>
    <x v="11"/>
    <n v="27"/>
    <n v="7704"/>
    <n v="1690"/>
    <n v="6014"/>
    <n v="1630"/>
    <n v="4.3"/>
    <n v="4384"/>
  </r>
  <r>
    <x v="79"/>
    <x v="5"/>
    <x v="5"/>
    <x v="2"/>
    <x v="2"/>
    <n v="22"/>
    <n v="5460"/>
    <n v="1040"/>
    <n v="4420"/>
    <n v="1290"/>
    <n v="4.7"/>
    <n v="3130"/>
  </r>
  <r>
    <x v="60"/>
    <x v="6"/>
    <x v="6"/>
    <x v="1"/>
    <x v="12"/>
    <n v="16"/>
    <n v="3872"/>
    <n v="740"/>
    <n v="3132"/>
    <n v="1250"/>
    <n v="4.5999999999999996"/>
    <n v="1882"/>
  </r>
  <r>
    <x v="61"/>
    <x v="7"/>
    <x v="7"/>
    <x v="0"/>
    <x v="13"/>
    <n v="16"/>
    <n v="3536"/>
    <n v="780"/>
    <n v="2756"/>
    <n v="1240"/>
    <n v="4.4000000000000004"/>
    <n v="1516"/>
  </r>
  <r>
    <x v="62"/>
    <x v="8"/>
    <x v="8"/>
    <x v="2"/>
    <x v="14"/>
    <n v="15"/>
    <n v="3854"/>
    <n v="850"/>
    <n v="3004"/>
    <n v="1330"/>
    <n v="4.5999999999999996"/>
    <n v="1674"/>
  </r>
  <r>
    <x v="63"/>
    <x v="9"/>
    <x v="9"/>
    <x v="0"/>
    <x v="15"/>
    <n v="13"/>
    <n v="3652"/>
    <n v="800"/>
    <n v="2852"/>
    <n v="1140"/>
    <n v="4.4000000000000004"/>
    <n v="1712"/>
  </r>
  <r>
    <x v="64"/>
    <x v="10"/>
    <x v="10"/>
    <x v="0"/>
    <x v="0"/>
    <n v="22"/>
    <n v="6221"/>
    <n v="1120"/>
    <n v="5101"/>
    <n v="1590"/>
    <n v="4.7"/>
    <n v="3511"/>
  </r>
  <r>
    <x v="65"/>
    <x v="11"/>
    <x v="11"/>
    <x v="0"/>
    <x v="1"/>
    <n v="21"/>
    <n v="4864"/>
    <n v="880"/>
    <n v="3984"/>
    <n v="1520"/>
    <n v="4.7"/>
    <n v="2464"/>
  </r>
  <r>
    <x v="66"/>
    <x v="0"/>
    <x v="0"/>
    <x v="1"/>
    <x v="2"/>
    <n v="25"/>
    <n v="6607"/>
    <n v="1260"/>
    <n v="5347"/>
    <n v="1550"/>
    <n v="4.8"/>
    <n v="3797"/>
  </r>
  <r>
    <x v="67"/>
    <x v="1"/>
    <x v="1"/>
    <x v="1"/>
    <x v="3"/>
    <n v="18"/>
    <n v="4996"/>
    <n v="1100"/>
    <n v="3896"/>
    <n v="1390"/>
    <n v="4.8"/>
    <n v="2506"/>
  </r>
  <r>
    <x v="68"/>
    <x v="2"/>
    <x v="2"/>
    <x v="1"/>
    <x v="4"/>
    <n v="26"/>
    <n v="6706"/>
    <n v="1270"/>
    <n v="5436"/>
    <n v="1520"/>
    <n v="4.8"/>
    <n v="3916"/>
  </r>
  <r>
    <x v="69"/>
    <x v="3"/>
    <x v="3"/>
    <x v="1"/>
    <x v="5"/>
    <n v="22"/>
    <n v="6385"/>
    <n v="1210"/>
    <n v="5175"/>
    <n v="1360"/>
    <n v="4.5999999999999996"/>
    <n v="3815"/>
  </r>
  <r>
    <x v="70"/>
    <x v="4"/>
    <x v="4"/>
    <x v="2"/>
    <x v="6"/>
    <n v="17"/>
    <n v="4228"/>
    <n v="890"/>
    <n v="3338"/>
    <n v="1290"/>
    <n v="4.5"/>
    <n v="2048"/>
  </r>
  <r>
    <x v="71"/>
    <x v="5"/>
    <x v="5"/>
    <x v="3"/>
    <x v="7"/>
    <n v="26"/>
    <n v="7321"/>
    <n v="1540"/>
    <n v="5781"/>
    <n v="1620"/>
    <n v="4.4000000000000004"/>
    <n v="4161"/>
  </r>
  <r>
    <x v="72"/>
    <x v="6"/>
    <x v="6"/>
    <x v="0"/>
    <x v="8"/>
    <n v="17"/>
    <n v="4302"/>
    <n v="860"/>
    <n v="3442"/>
    <n v="1420"/>
    <n v="4.3"/>
    <n v="2022"/>
  </r>
  <r>
    <x v="73"/>
    <x v="7"/>
    <x v="7"/>
    <x v="2"/>
    <x v="9"/>
    <n v="17"/>
    <n v="4600"/>
    <n v="870"/>
    <n v="3730"/>
    <n v="1410"/>
    <n v="4.8"/>
    <n v="2320"/>
  </r>
  <r>
    <x v="74"/>
    <x v="8"/>
    <x v="8"/>
    <x v="0"/>
    <x v="10"/>
    <n v="28"/>
    <n v="6283"/>
    <n v="1380"/>
    <n v="4903"/>
    <n v="1790"/>
    <n v="4.4000000000000004"/>
    <n v="3113"/>
  </r>
  <r>
    <x v="75"/>
    <x v="9"/>
    <x v="9"/>
    <x v="1"/>
    <x v="11"/>
    <n v="17"/>
    <n v="4204"/>
    <n v="920"/>
    <n v="3284"/>
    <n v="1410"/>
    <n v="4.5"/>
    <n v="1874"/>
  </r>
  <r>
    <x v="76"/>
    <x v="10"/>
    <x v="10"/>
    <x v="2"/>
    <x v="2"/>
    <n v="24"/>
    <n v="6221"/>
    <n v="1120"/>
    <n v="5101"/>
    <n v="1650"/>
    <n v="4.8"/>
    <n v="3451"/>
  </r>
  <r>
    <x v="77"/>
    <x v="11"/>
    <x v="11"/>
    <x v="1"/>
    <x v="12"/>
    <n v="25"/>
    <n v="6474"/>
    <n v="1290"/>
    <n v="5184"/>
    <n v="1470"/>
    <n v="4.8"/>
    <n v="3714"/>
  </r>
  <r>
    <x v="78"/>
    <x v="0"/>
    <x v="0"/>
    <x v="0"/>
    <x v="13"/>
    <n v="25"/>
    <n v="6724"/>
    <n v="1280"/>
    <n v="5444"/>
    <n v="1400"/>
    <n v="4.3"/>
    <n v="4044"/>
  </r>
  <r>
    <x v="79"/>
    <x v="1"/>
    <x v="1"/>
    <x v="2"/>
    <x v="14"/>
    <n v="21"/>
    <n v="4978"/>
    <n v="900"/>
    <n v="4078"/>
    <n v="1540"/>
    <n v="4.4000000000000004"/>
    <n v="2538"/>
  </r>
  <r>
    <x v="60"/>
    <x v="2"/>
    <x v="2"/>
    <x v="0"/>
    <x v="15"/>
    <n v="24"/>
    <n v="5633"/>
    <n v="1010"/>
    <n v="4623"/>
    <n v="1450"/>
    <n v="4.4000000000000004"/>
    <n v="3173"/>
  </r>
  <r>
    <x v="61"/>
    <x v="3"/>
    <x v="3"/>
    <x v="0"/>
    <x v="0"/>
    <n v="18"/>
    <n v="4280"/>
    <n v="770"/>
    <n v="3510"/>
    <n v="1550"/>
    <n v="4.4000000000000004"/>
    <n v="1960"/>
  </r>
  <r>
    <x v="62"/>
    <x v="4"/>
    <x v="4"/>
    <x v="0"/>
    <x v="1"/>
    <n v="12"/>
    <n v="2840"/>
    <n v="540"/>
    <n v="2300"/>
    <n v="1240"/>
    <n v="4.3"/>
    <n v="1060"/>
  </r>
  <r>
    <x v="63"/>
    <x v="5"/>
    <x v="5"/>
    <x v="1"/>
    <x v="2"/>
    <n v="24"/>
    <n v="6900"/>
    <n v="1310"/>
    <n v="5590"/>
    <n v="1400"/>
    <n v="4.4000000000000004"/>
    <n v="4190"/>
  </r>
  <r>
    <x v="64"/>
    <x v="6"/>
    <x v="6"/>
    <x v="1"/>
    <x v="3"/>
    <n v="15"/>
    <n v="3863"/>
    <n v="850"/>
    <n v="3013"/>
    <n v="1340"/>
    <n v="4.9000000000000004"/>
    <n v="1673"/>
  </r>
  <r>
    <x v="65"/>
    <x v="7"/>
    <x v="7"/>
    <x v="1"/>
    <x v="4"/>
    <n v="14"/>
    <n v="3280"/>
    <n v="720"/>
    <n v="2560"/>
    <n v="1330"/>
    <n v="4.4000000000000004"/>
    <n v="1230"/>
  </r>
  <r>
    <x v="66"/>
    <x v="8"/>
    <x v="8"/>
    <x v="1"/>
    <x v="5"/>
    <n v="19"/>
    <n v="5469"/>
    <n v="980"/>
    <n v="4489"/>
    <n v="1360"/>
    <n v="4.4000000000000004"/>
    <n v="3129"/>
  </r>
  <r>
    <x v="67"/>
    <x v="9"/>
    <x v="9"/>
    <x v="2"/>
    <x v="6"/>
    <n v="26"/>
    <n v="5910"/>
    <n v="1240"/>
    <n v="4670"/>
    <n v="1520"/>
    <n v="4.9000000000000004"/>
    <n v="3150"/>
  </r>
  <r>
    <x v="68"/>
    <x v="10"/>
    <x v="10"/>
    <x v="3"/>
    <x v="7"/>
    <n v="20"/>
    <n v="5798"/>
    <n v="1100"/>
    <n v="4698"/>
    <n v="1410"/>
    <n v="4.5999999999999996"/>
    <n v="3288"/>
  </r>
  <r>
    <x v="69"/>
    <x v="11"/>
    <x v="11"/>
    <x v="0"/>
    <x v="8"/>
    <n v="21"/>
    <n v="4977"/>
    <n v="1050"/>
    <n v="3927"/>
    <n v="1290"/>
    <n v="4.8"/>
    <n v="2637"/>
  </r>
  <r>
    <x v="70"/>
    <x v="0"/>
    <x v="0"/>
    <x v="2"/>
    <x v="9"/>
    <n v="16"/>
    <n v="4437"/>
    <n v="840"/>
    <n v="3597"/>
    <n v="1300"/>
    <n v="4.3"/>
    <n v="2297"/>
  </r>
  <r>
    <x v="71"/>
    <x v="1"/>
    <x v="1"/>
    <x v="0"/>
    <x v="10"/>
    <n v="26"/>
    <n v="6280"/>
    <n v="1260"/>
    <n v="5020"/>
    <n v="1790"/>
    <n v="4.4000000000000004"/>
    <n v="3230"/>
  </r>
  <r>
    <x v="72"/>
    <x v="2"/>
    <x v="2"/>
    <x v="1"/>
    <x v="11"/>
    <n v="26"/>
    <n v="6745"/>
    <n v="1480"/>
    <n v="5265"/>
    <n v="1480"/>
    <n v="4.3"/>
    <n v="3785"/>
  </r>
  <r>
    <x v="73"/>
    <x v="3"/>
    <x v="3"/>
    <x v="2"/>
    <x v="2"/>
    <n v="21"/>
    <n v="5441"/>
    <n v="1200"/>
    <n v="4241"/>
    <n v="1550"/>
    <n v="4.8"/>
    <n v="2691"/>
  </r>
  <r>
    <x v="74"/>
    <x v="4"/>
    <x v="4"/>
    <x v="1"/>
    <x v="12"/>
    <n v="12"/>
    <n v="3249"/>
    <n v="680"/>
    <n v="2569"/>
    <n v="1020"/>
    <n v="4.8"/>
    <n v="1549"/>
  </r>
  <r>
    <x v="75"/>
    <x v="5"/>
    <x v="5"/>
    <x v="0"/>
    <x v="13"/>
    <n v="18"/>
    <n v="4333"/>
    <n v="870"/>
    <n v="3463"/>
    <n v="1360"/>
    <n v="4.8"/>
    <n v="2103"/>
  </r>
  <r>
    <x v="76"/>
    <x v="6"/>
    <x v="6"/>
    <x v="2"/>
    <x v="14"/>
    <n v="22"/>
    <n v="6237"/>
    <n v="1250"/>
    <n v="4987"/>
    <n v="1620"/>
    <n v="4.3"/>
    <n v="3367"/>
  </r>
  <r>
    <x v="77"/>
    <x v="7"/>
    <x v="7"/>
    <x v="0"/>
    <x v="15"/>
    <n v="13"/>
    <n v="3591"/>
    <n v="680"/>
    <n v="2911"/>
    <n v="1320"/>
    <n v="4.4000000000000004"/>
    <n v="1591"/>
  </r>
  <r>
    <x v="78"/>
    <x v="8"/>
    <x v="8"/>
    <x v="0"/>
    <x v="0"/>
    <n v="12"/>
    <n v="3090"/>
    <n v="620"/>
    <n v="2470"/>
    <n v="1220"/>
    <n v="4.9000000000000004"/>
    <n v="1250"/>
  </r>
  <r>
    <x v="79"/>
    <x v="9"/>
    <x v="9"/>
    <x v="0"/>
    <x v="1"/>
    <n v="19"/>
    <n v="4555"/>
    <n v="960"/>
    <n v="3595"/>
    <n v="1280"/>
    <n v="4.8"/>
    <n v="2315"/>
  </r>
  <r>
    <x v="60"/>
    <x v="10"/>
    <x v="10"/>
    <x v="1"/>
    <x v="2"/>
    <n v="27"/>
    <n v="7342"/>
    <n v="1320"/>
    <n v="6022"/>
    <n v="1800"/>
    <n v="4.8"/>
    <n v="4222"/>
  </r>
  <r>
    <x v="61"/>
    <x v="11"/>
    <x v="11"/>
    <x v="1"/>
    <x v="3"/>
    <n v="14"/>
    <n v="3176"/>
    <n v="700"/>
    <n v="2476"/>
    <n v="1180"/>
    <n v="4.7"/>
    <n v="1296"/>
  </r>
  <r>
    <x v="62"/>
    <x v="0"/>
    <x v="0"/>
    <x v="1"/>
    <x v="4"/>
    <n v="17"/>
    <n v="4917"/>
    <n v="1080"/>
    <n v="3837"/>
    <n v="1200"/>
    <n v="4.7"/>
    <n v="2637"/>
  </r>
  <r>
    <x v="63"/>
    <x v="1"/>
    <x v="1"/>
    <x v="1"/>
    <x v="5"/>
    <n v="16"/>
    <n v="4412"/>
    <n v="790"/>
    <n v="3622"/>
    <n v="1300"/>
    <n v="4.7"/>
    <n v="2322"/>
  </r>
  <r>
    <x v="64"/>
    <x v="2"/>
    <x v="2"/>
    <x v="2"/>
    <x v="6"/>
    <n v="14"/>
    <n v="3278"/>
    <n v="690"/>
    <n v="2588"/>
    <n v="1260"/>
    <n v="4.4000000000000004"/>
    <n v="1328"/>
  </r>
  <r>
    <x v="65"/>
    <x v="3"/>
    <x v="3"/>
    <x v="3"/>
    <x v="7"/>
    <n v="14"/>
    <n v="3698"/>
    <n v="700"/>
    <n v="2998"/>
    <n v="1190"/>
    <n v="4.5"/>
    <n v="1808"/>
  </r>
  <r>
    <x v="66"/>
    <x v="4"/>
    <x v="4"/>
    <x v="0"/>
    <x v="8"/>
    <n v="24"/>
    <n v="5975"/>
    <n v="1140"/>
    <n v="4835"/>
    <n v="1410"/>
    <n v="4.5"/>
    <n v="3425"/>
  </r>
  <r>
    <x v="67"/>
    <x v="5"/>
    <x v="5"/>
    <x v="2"/>
    <x v="9"/>
    <n v="19"/>
    <n v="4114"/>
    <n v="740"/>
    <n v="3374"/>
    <n v="1490"/>
    <n v="4.7"/>
    <n v="1884"/>
  </r>
  <r>
    <x v="68"/>
    <x v="6"/>
    <x v="6"/>
    <x v="0"/>
    <x v="10"/>
    <n v="28"/>
    <n v="6975"/>
    <n v="1330"/>
    <n v="5645"/>
    <n v="1780"/>
    <n v="4.4000000000000004"/>
    <n v="3865"/>
  </r>
  <r>
    <x v="69"/>
    <x v="7"/>
    <x v="7"/>
    <x v="1"/>
    <x v="11"/>
    <n v="20"/>
    <n v="5141"/>
    <n v="1130"/>
    <n v="4011"/>
    <n v="1390"/>
    <n v="4.3"/>
    <n v="2621"/>
  </r>
  <r>
    <x v="70"/>
    <x v="8"/>
    <x v="8"/>
    <x v="2"/>
    <x v="2"/>
    <n v="17"/>
    <n v="4668"/>
    <n v="890"/>
    <n v="3778"/>
    <n v="1270"/>
    <n v="4.5"/>
    <n v="2508"/>
  </r>
  <r>
    <x v="71"/>
    <x v="9"/>
    <x v="9"/>
    <x v="1"/>
    <x v="12"/>
    <n v="16"/>
    <n v="3595"/>
    <n v="650"/>
    <n v="2945"/>
    <n v="1340"/>
    <n v="4.3"/>
    <n v="1605"/>
  </r>
  <r>
    <x v="72"/>
    <x v="10"/>
    <x v="10"/>
    <x v="0"/>
    <x v="13"/>
    <n v="18"/>
    <n v="4176"/>
    <n v="750"/>
    <n v="3426"/>
    <n v="1210"/>
    <n v="4.5"/>
    <n v="2216"/>
  </r>
  <r>
    <x v="73"/>
    <x v="11"/>
    <x v="11"/>
    <x v="2"/>
    <x v="14"/>
    <n v="21"/>
    <n v="5687"/>
    <n v="1140"/>
    <n v="4547"/>
    <n v="1470"/>
    <n v="4.5999999999999996"/>
    <n v="3077"/>
  </r>
  <r>
    <x v="74"/>
    <x v="0"/>
    <x v="0"/>
    <x v="0"/>
    <x v="15"/>
    <n v="13"/>
    <n v="3452"/>
    <n v="620"/>
    <n v="2832"/>
    <n v="1250"/>
    <n v="4.3"/>
    <n v="1582"/>
  </r>
  <r>
    <x v="75"/>
    <x v="1"/>
    <x v="1"/>
    <x v="0"/>
    <x v="0"/>
    <n v="27"/>
    <n v="6934"/>
    <n v="1530"/>
    <n v="5404"/>
    <n v="1460"/>
    <n v="4.7"/>
    <n v="3944"/>
  </r>
  <r>
    <x v="76"/>
    <x v="2"/>
    <x v="2"/>
    <x v="0"/>
    <x v="1"/>
    <n v="26"/>
    <n v="5984"/>
    <n v="1200"/>
    <n v="4784"/>
    <n v="1570"/>
    <n v="4.5999999999999996"/>
    <n v="3214"/>
  </r>
  <r>
    <x v="77"/>
    <x v="3"/>
    <x v="3"/>
    <x v="1"/>
    <x v="2"/>
    <n v="16"/>
    <n v="4500"/>
    <n v="900"/>
    <n v="3600"/>
    <n v="1250"/>
    <n v="4.5"/>
    <n v="2350"/>
  </r>
  <r>
    <x v="78"/>
    <x v="4"/>
    <x v="4"/>
    <x v="1"/>
    <x v="3"/>
    <n v="28"/>
    <n v="7782"/>
    <n v="1630"/>
    <n v="6152"/>
    <n v="1820"/>
    <n v="4.8"/>
    <n v="4332"/>
  </r>
  <r>
    <x v="79"/>
    <x v="5"/>
    <x v="5"/>
    <x v="1"/>
    <x v="4"/>
    <n v="19"/>
    <n v="5357"/>
    <n v="1070"/>
    <n v="4287"/>
    <n v="1320"/>
    <n v="4.5"/>
    <n v="2967"/>
  </r>
  <r>
    <x v="80"/>
    <x v="3"/>
    <x v="3"/>
    <x v="1"/>
    <x v="4"/>
    <n v="24"/>
    <n v="5714"/>
    <n v="1140"/>
    <n v="4574"/>
    <n v="1520"/>
    <n v="4.5"/>
    <n v="3054"/>
  </r>
  <r>
    <x v="81"/>
    <x v="8"/>
    <x v="8"/>
    <x v="1"/>
    <x v="2"/>
    <n v="25"/>
    <n v="6098"/>
    <n v="1340"/>
    <n v="4758"/>
    <n v="1500"/>
    <n v="4.7"/>
    <n v="3258"/>
  </r>
  <r>
    <x v="82"/>
    <x v="1"/>
    <x v="1"/>
    <x v="0"/>
    <x v="0"/>
    <n v="14"/>
    <n v="3227"/>
    <n v="610"/>
    <n v="2617"/>
    <n v="1240"/>
    <n v="4.7"/>
    <n v="1377"/>
  </r>
  <r>
    <x v="83"/>
    <x v="6"/>
    <x v="6"/>
    <x v="2"/>
    <x v="14"/>
    <n v="14"/>
    <n v="3730"/>
    <n v="820"/>
    <n v="2910"/>
    <n v="1280"/>
    <n v="4.5"/>
    <n v="1630"/>
  </r>
  <r>
    <x v="84"/>
    <x v="11"/>
    <x v="11"/>
    <x v="1"/>
    <x v="12"/>
    <n v="23"/>
    <n v="5903"/>
    <n v="1060"/>
    <n v="4843"/>
    <n v="1700"/>
    <n v="4.8"/>
    <n v="3143"/>
  </r>
  <r>
    <x v="85"/>
    <x v="4"/>
    <x v="4"/>
    <x v="2"/>
    <x v="9"/>
    <n v="25"/>
    <n v="6537"/>
    <n v="1310"/>
    <n v="5227"/>
    <n v="1520"/>
    <n v="4.5"/>
    <n v="3707"/>
  </r>
  <r>
    <x v="86"/>
    <x v="9"/>
    <x v="9"/>
    <x v="3"/>
    <x v="7"/>
    <n v="26"/>
    <n v="6582"/>
    <n v="1180"/>
    <n v="5402"/>
    <n v="1660"/>
    <n v="4.4000000000000004"/>
    <n v="3742"/>
  </r>
  <r>
    <x v="87"/>
    <x v="2"/>
    <x v="2"/>
    <x v="1"/>
    <x v="5"/>
    <n v="27"/>
    <n v="6993"/>
    <n v="1400"/>
    <n v="5593"/>
    <n v="1850"/>
    <n v="4.4000000000000004"/>
    <n v="3743"/>
  </r>
  <r>
    <x v="88"/>
    <x v="7"/>
    <x v="7"/>
    <x v="1"/>
    <x v="3"/>
    <n v="21"/>
    <n v="5580"/>
    <n v="1170"/>
    <n v="4410"/>
    <n v="1400"/>
    <n v="4.7"/>
    <n v="3010"/>
  </r>
  <r>
    <x v="89"/>
    <x v="0"/>
    <x v="0"/>
    <x v="0"/>
    <x v="1"/>
    <n v="27"/>
    <n v="7483"/>
    <n v="1500"/>
    <n v="5983"/>
    <n v="1770"/>
    <n v="4.5"/>
    <n v="4213"/>
  </r>
  <r>
    <x v="90"/>
    <x v="5"/>
    <x v="5"/>
    <x v="0"/>
    <x v="13"/>
    <n v="15"/>
    <n v="3624"/>
    <n v="690"/>
    <n v="2934"/>
    <n v="1400"/>
    <n v="4.5"/>
    <n v="1534"/>
  </r>
  <r>
    <x v="91"/>
    <x v="10"/>
    <x v="10"/>
    <x v="2"/>
    <x v="2"/>
    <n v="15"/>
    <n v="3660"/>
    <n v="770"/>
    <n v="2890"/>
    <n v="1280"/>
    <n v="4.5999999999999996"/>
    <n v="1610"/>
  </r>
  <r>
    <x v="92"/>
    <x v="3"/>
    <x v="3"/>
    <x v="2"/>
    <x v="14"/>
    <n v="27"/>
    <n v="6907"/>
    <n v="1380"/>
    <n v="5527"/>
    <n v="1660"/>
    <n v="4.5"/>
    <n v="3867"/>
  </r>
  <r>
    <x v="93"/>
    <x v="8"/>
    <x v="8"/>
    <x v="1"/>
    <x v="12"/>
    <n v="18"/>
    <n v="5096"/>
    <n v="920"/>
    <n v="4176"/>
    <n v="1460"/>
    <n v="4.7"/>
    <n v="2716"/>
  </r>
  <r>
    <x v="94"/>
    <x v="1"/>
    <x v="1"/>
    <x v="2"/>
    <x v="9"/>
    <n v="22"/>
    <n v="6144"/>
    <n v="1170"/>
    <n v="4974"/>
    <n v="1550"/>
    <n v="4.5999999999999996"/>
    <n v="3424"/>
  </r>
  <r>
    <x v="95"/>
    <x v="6"/>
    <x v="6"/>
    <x v="3"/>
    <x v="7"/>
    <n v="24"/>
    <n v="6738"/>
    <n v="1280"/>
    <n v="5458"/>
    <n v="1690"/>
    <n v="4.5999999999999996"/>
    <n v="3768"/>
  </r>
  <r>
    <x v="96"/>
    <x v="11"/>
    <x v="11"/>
    <x v="1"/>
    <x v="5"/>
    <n v="26"/>
    <n v="7298"/>
    <n v="1390"/>
    <n v="5908"/>
    <n v="1840"/>
    <n v="4.4000000000000004"/>
    <n v="4068"/>
  </r>
  <r>
    <x v="97"/>
    <x v="4"/>
    <x v="4"/>
    <x v="1"/>
    <x v="3"/>
    <n v="19"/>
    <n v="4908"/>
    <n v="880"/>
    <n v="4028"/>
    <n v="1380"/>
    <n v="4.9000000000000004"/>
    <n v="2648"/>
  </r>
  <r>
    <x v="98"/>
    <x v="9"/>
    <x v="9"/>
    <x v="0"/>
    <x v="1"/>
    <n v="23"/>
    <n v="6420"/>
    <n v="1220"/>
    <n v="5200"/>
    <n v="1660"/>
    <n v="4.5999999999999996"/>
    <n v="3540"/>
  </r>
  <r>
    <x v="99"/>
    <x v="2"/>
    <x v="2"/>
    <x v="0"/>
    <x v="13"/>
    <n v="24"/>
    <n v="6272"/>
    <n v="1250"/>
    <n v="5022"/>
    <n v="1500"/>
    <n v="4.5"/>
    <n v="3522"/>
  </r>
  <r>
    <x v="80"/>
    <x v="7"/>
    <x v="7"/>
    <x v="2"/>
    <x v="2"/>
    <n v="22"/>
    <n v="5885"/>
    <n v="1290"/>
    <n v="4595"/>
    <n v="1530"/>
    <n v="4.8"/>
    <n v="3065"/>
  </r>
  <r>
    <x v="81"/>
    <x v="0"/>
    <x v="0"/>
    <x v="0"/>
    <x v="10"/>
    <n v="20"/>
    <n v="5116"/>
    <n v="970"/>
    <n v="4146"/>
    <n v="1510"/>
    <n v="4.5999999999999996"/>
    <n v="2636"/>
  </r>
  <r>
    <x v="82"/>
    <x v="5"/>
    <x v="5"/>
    <x v="0"/>
    <x v="8"/>
    <n v="26"/>
    <n v="6308"/>
    <n v="1140"/>
    <n v="5168"/>
    <n v="1550"/>
    <n v="4.7"/>
    <n v="3618"/>
  </r>
  <r>
    <x v="83"/>
    <x v="10"/>
    <x v="10"/>
    <x v="1"/>
    <x v="4"/>
    <n v="26"/>
    <n v="7236"/>
    <n v="1590"/>
    <n v="5646"/>
    <n v="1530"/>
    <n v="4.5999999999999996"/>
    <n v="4116"/>
  </r>
  <r>
    <x v="84"/>
    <x v="3"/>
    <x v="3"/>
    <x v="3"/>
    <x v="7"/>
    <n v="23"/>
    <n v="6107"/>
    <n v="1220"/>
    <n v="4887"/>
    <n v="1610"/>
    <n v="4.8"/>
    <n v="3277"/>
  </r>
  <r>
    <x v="85"/>
    <x v="8"/>
    <x v="8"/>
    <x v="1"/>
    <x v="5"/>
    <n v="14"/>
    <n v="3976"/>
    <n v="720"/>
    <n v="3256"/>
    <n v="1340"/>
    <n v="4.8"/>
    <n v="1916"/>
  </r>
  <r>
    <x v="86"/>
    <x v="1"/>
    <x v="1"/>
    <x v="1"/>
    <x v="3"/>
    <n v="26"/>
    <n v="6648"/>
    <n v="1330"/>
    <n v="5318"/>
    <n v="1530"/>
    <n v="4.5"/>
    <n v="3788"/>
  </r>
  <r>
    <x v="87"/>
    <x v="6"/>
    <x v="6"/>
    <x v="0"/>
    <x v="1"/>
    <n v="16"/>
    <n v="4124"/>
    <n v="820"/>
    <n v="3304"/>
    <n v="1380"/>
    <n v="4.8"/>
    <n v="1924"/>
  </r>
  <r>
    <x v="88"/>
    <x v="11"/>
    <x v="11"/>
    <x v="0"/>
    <x v="13"/>
    <n v="22"/>
    <n v="5362"/>
    <n v="1070"/>
    <n v="4292"/>
    <n v="1690"/>
    <n v="4.7"/>
    <n v="2602"/>
  </r>
  <r>
    <x v="89"/>
    <x v="4"/>
    <x v="4"/>
    <x v="2"/>
    <x v="2"/>
    <n v="23"/>
    <n v="5620"/>
    <n v="1120"/>
    <n v="4500"/>
    <n v="1700"/>
    <n v="4.5"/>
    <n v="2800"/>
  </r>
  <r>
    <x v="90"/>
    <x v="9"/>
    <x v="9"/>
    <x v="0"/>
    <x v="10"/>
    <n v="26"/>
    <n v="6868"/>
    <n v="1510"/>
    <n v="5358"/>
    <n v="1630"/>
    <n v="4.5999999999999996"/>
    <n v="3728"/>
  </r>
  <r>
    <x v="91"/>
    <x v="2"/>
    <x v="2"/>
    <x v="0"/>
    <x v="8"/>
    <n v="15"/>
    <n v="3982"/>
    <n v="800"/>
    <n v="3182"/>
    <n v="1270"/>
    <n v="4.4000000000000004"/>
    <n v="1912"/>
  </r>
  <r>
    <x v="92"/>
    <x v="7"/>
    <x v="7"/>
    <x v="1"/>
    <x v="4"/>
    <n v="23"/>
    <n v="5441"/>
    <n v="1140"/>
    <n v="4301"/>
    <n v="1720"/>
    <n v="4.4000000000000004"/>
    <n v="2581"/>
  </r>
  <r>
    <x v="93"/>
    <x v="0"/>
    <x v="0"/>
    <x v="1"/>
    <x v="2"/>
    <n v="26"/>
    <n v="7090"/>
    <n v="1350"/>
    <n v="5740"/>
    <n v="1550"/>
    <n v="4.7"/>
    <n v="4190"/>
  </r>
  <r>
    <x v="94"/>
    <x v="5"/>
    <x v="5"/>
    <x v="0"/>
    <x v="0"/>
    <n v="22"/>
    <n v="5357"/>
    <n v="1180"/>
    <n v="4177"/>
    <n v="1690"/>
    <n v="4.7"/>
    <n v="2487"/>
  </r>
  <r>
    <x v="95"/>
    <x v="10"/>
    <x v="10"/>
    <x v="2"/>
    <x v="14"/>
    <n v="17"/>
    <n v="4666"/>
    <n v="890"/>
    <n v="3776"/>
    <n v="1460"/>
    <n v="4.5999999999999996"/>
    <n v="2316"/>
  </r>
  <r>
    <x v="96"/>
    <x v="3"/>
    <x v="3"/>
    <x v="0"/>
    <x v="1"/>
    <n v="24"/>
    <n v="6619"/>
    <n v="1390"/>
    <n v="5229"/>
    <n v="1640"/>
    <n v="4.5999999999999996"/>
    <n v="3589"/>
  </r>
  <r>
    <x v="97"/>
    <x v="8"/>
    <x v="8"/>
    <x v="0"/>
    <x v="13"/>
    <n v="17"/>
    <n v="4149"/>
    <n v="830"/>
    <n v="3319"/>
    <n v="1280"/>
    <n v="4.7"/>
    <n v="2039"/>
  </r>
  <r>
    <x v="98"/>
    <x v="1"/>
    <x v="1"/>
    <x v="2"/>
    <x v="2"/>
    <n v="17"/>
    <n v="4580"/>
    <n v="820"/>
    <n v="3760"/>
    <n v="1290"/>
    <n v="4.8"/>
    <n v="2470"/>
  </r>
  <r>
    <x v="99"/>
    <x v="6"/>
    <x v="6"/>
    <x v="0"/>
    <x v="10"/>
    <n v="14"/>
    <n v="3403"/>
    <n v="610"/>
    <n v="2793"/>
    <n v="1380"/>
    <n v="4.5999999999999996"/>
    <n v="1413"/>
  </r>
  <r>
    <x v="80"/>
    <x v="11"/>
    <x v="11"/>
    <x v="0"/>
    <x v="8"/>
    <n v="22"/>
    <n v="5471"/>
    <n v="1150"/>
    <n v="4321"/>
    <n v="1470"/>
    <n v="4.7"/>
    <n v="2851"/>
  </r>
  <r>
    <x v="81"/>
    <x v="4"/>
    <x v="4"/>
    <x v="1"/>
    <x v="4"/>
    <n v="25"/>
    <n v="6822"/>
    <n v="1430"/>
    <n v="5392"/>
    <n v="1550"/>
    <n v="4.8"/>
    <n v="3842"/>
  </r>
  <r>
    <x v="82"/>
    <x v="9"/>
    <x v="9"/>
    <x v="1"/>
    <x v="2"/>
    <n v="26"/>
    <n v="6734"/>
    <n v="1210"/>
    <n v="5524"/>
    <n v="1530"/>
    <n v="4.7"/>
    <n v="3994"/>
  </r>
  <r>
    <x v="83"/>
    <x v="2"/>
    <x v="2"/>
    <x v="0"/>
    <x v="0"/>
    <n v="19"/>
    <n v="4983"/>
    <n v="1050"/>
    <n v="3933"/>
    <n v="1570"/>
    <n v="4.8"/>
    <n v="2363"/>
  </r>
  <r>
    <x v="84"/>
    <x v="7"/>
    <x v="7"/>
    <x v="2"/>
    <x v="14"/>
    <n v="24"/>
    <n v="6689"/>
    <n v="1200"/>
    <n v="5489"/>
    <n v="1450"/>
    <n v="4.5999999999999996"/>
    <n v="4039"/>
  </r>
  <r>
    <x v="85"/>
    <x v="0"/>
    <x v="0"/>
    <x v="1"/>
    <x v="12"/>
    <n v="19"/>
    <n v="4542"/>
    <n v="860"/>
    <n v="3682"/>
    <n v="1380"/>
    <n v="4.7"/>
    <n v="2302"/>
  </r>
  <r>
    <x v="86"/>
    <x v="5"/>
    <x v="5"/>
    <x v="2"/>
    <x v="9"/>
    <n v="16"/>
    <n v="4138"/>
    <n v="830"/>
    <n v="3308"/>
    <n v="1360"/>
    <n v="4.5"/>
    <n v="1948"/>
  </r>
  <r>
    <x v="87"/>
    <x v="10"/>
    <x v="10"/>
    <x v="3"/>
    <x v="7"/>
    <n v="15"/>
    <n v="4051"/>
    <n v="890"/>
    <n v="3161"/>
    <n v="1240"/>
    <n v="4.4000000000000004"/>
    <n v="1921"/>
  </r>
  <r>
    <x v="88"/>
    <x v="3"/>
    <x v="3"/>
    <x v="0"/>
    <x v="10"/>
    <n v="22"/>
    <n v="5093"/>
    <n v="970"/>
    <n v="4123"/>
    <n v="1440"/>
    <n v="4.5999999999999996"/>
    <n v="2683"/>
  </r>
  <r>
    <x v="89"/>
    <x v="8"/>
    <x v="8"/>
    <x v="0"/>
    <x v="8"/>
    <n v="21"/>
    <n v="5210"/>
    <n v="940"/>
    <n v="4270"/>
    <n v="1420"/>
    <n v="4.5999999999999996"/>
    <n v="2850"/>
  </r>
  <r>
    <x v="90"/>
    <x v="1"/>
    <x v="1"/>
    <x v="1"/>
    <x v="4"/>
    <n v="20"/>
    <n v="5120"/>
    <n v="1080"/>
    <n v="4040"/>
    <n v="1430"/>
    <n v="4.5999999999999996"/>
    <n v="2610"/>
  </r>
  <r>
    <x v="91"/>
    <x v="6"/>
    <x v="6"/>
    <x v="1"/>
    <x v="2"/>
    <n v="25"/>
    <n v="7167"/>
    <n v="1510"/>
    <n v="5657"/>
    <n v="1520"/>
    <n v="4.5"/>
    <n v="4137"/>
  </r>
  <r>
    <x v="92"/>
    <x v="11"/>
    <x v="11"/>
    <x v="0"/>
    <x v="0"/>
    <n v="17"/>
    <n v="4094"/>
    <n v="900"/>
    <n v="3194"/>
    <n v="1280"/>
    <n v="4.8"/>
    <n v="1914"/>
  </r>
  <r>
    <x v="93"/>
    <x v="4"/>
    <x v="4"/>
    <x v="2"/>
    <x v="14"/>
    <n v="14"/>
    <n v="3381"/>
    <n v="710"/>
    <n v="2671"/>
    <n v="1310"/>
    <n v="4.9000000000000004"/>
    <n v="1361"/>
  </r>
  <r>
    <x v="94"/>
    <x v="9"/>
    <x v="9"/>
    <x v="1"/>
    <x v="12"/>
    <n v="22"/>
    <n v="5304"/>
    <n v="1170"/>
    <n v="4134"/>
    <n v="1420"/>
    <n v="4.8"/>
    <n v="2714"/>
  </r>
  <r>
    <x v="95"/>
    <x v="2"/>
    <x v="2"/>
    <x v="2"/>
    <x v="9"/>
    <n v="15"/>
    <n v="4012"/>
    <n v="760"/>
    <n v="3252"/>
    <n v="1320"/>
    <n v="4.5"/>
    <n v="1932"/>
  </r>
  <r>
    <x v="96"/>
    <x v="7"/>
    <x v="7"/>
    <x v="3"/>
    <x v="7"/>
    <n v="23"/>
    <n v="5798"/>
    <n v="1280"/>
    <n v="4518"/>
    <n v="1420"/>
    <n v="4.7"/>
    <n v="3098"/>
  </r>
  <r>
    <x v="97"/>
    <x v="0"/>
    <x v="0"/>
    <x v="1"/>
    <x v="5"/>
    <n v="20"/>
    <n v="5589"/>
    <n v="1230"/>
    <n v="4359"/>
    <n v="1510"/>
    <n v="4.5999999999999996"/>
    <n v="2849"/>
  </r>
  <r>
    <x v="98"/>
    <x v="5"/>
    <x v="5"/>
    <x v="1"/>
    <x v="3"/>
    <n v="18"/>
    <n v="4535"/>
    <n v="910"/>
    <n v="3625"/>
    <n v="1350"/>
    <n v="4.5"/>
    <n v="2275"/>
  </r>
  <r>
    <x v="99"/>
    <x v="10"/>
    <x v="10"/>
    <x v="0"/>
    <x v="1"/>
    <n v="16"/>
    <n v="4497"/>
    <n v="900"/>
    <n v="3597"/>
    <n v="1360"/>
    <n v="4.5999999999999996"/>
    <n v="2237"/>
  </r>
  <r>
    <x v="80"/>
    <x v="3"/>
    <x v="3"/>
    <x v="1"/>
    <x v="2"/>
    <n v="26"/>
    <n v="6116"/>
    <n v="1280"/>
    <n v="4836"/>
    <n v="1730"/>
    <n v="4.9000000000000004"/>
    <n v="3106"/>
  </r>
  <r>
    <x v="81"/>
    <x v="8"/>
    <x v="8"/>
    <x v="0"/>
    <x v="0"/>
    <n v="15"/>
    <n v="3622"/>
    <n v="690"/>
    <n v="2932"/>
    <n v="1340"/>
    <n v="4.5"/>
    <n v="1592"/>
  </r>
  <r>
    <x v="82"/>
    <x v="1"/>
    <x v="1"/>
    <x v="2"/>
    <x v="14"/>
    <n v="19"/>
    <n v="4503"/>
    <n v="900"/>
    <n v="3603"/>
    <n v="1400"/>
    <n v="4.5"/>
    <n v="2203"/>
  </r>
  <r>
    <x v="83"/>
    <x v="6"/>
    <x v="6"/>
    <x v="1"/>
    <x v="12"/>
    <n v="27"/>
    <n v="7343"/>
    <n v="1470"/>
    <n v="5873"/>
    <n v="1770"/>
    <n v="4.9000000000000004"/>
    <n v="4103"/>
  </r>
  <r>
    <x v="84"/>
    <x v="11"/>
    <x v="11"/>
    <x v="2"/>
    <x v="9"/>
    <n v="26"/>
    <n v="7211"/>
    <n v="1300"/>
    <n v="5911"/>
    <n v="1760"/>
    <n v="4.8"/>
    <n v="4151"/>
  </r>
  <r>
    <x v="85"/>
    <x v="4"/>
    <x v="4"/>
    <x v="3"/>
    <x v="7"/>
    <n v="18"/>
    <n v="4912"/>
    <n v="930"/>
    <n v="3982"/>
    <n v="1370"/>
    <n v="4.5"/>
    <n v="2612"/>
  </r>
  <r>
    <x v="86"/>
    <x v="9"/>
    <x v="9"/>
    <x v="1"/>
    <x v="5"/>
    <n v="15"/>
    <n v="4271"/>
    <n v="810"/>
    <n v="3461"/>
    <n v="1280"/>
    <n v="4.5"/>
    <n v="2181"/>
  </r>
  <r>
    <x v="87"/>
    <x v="2"/>
    <x v="2"/>
    <x v="1"/>
    <x v="3"/>
    <n v="17"/>
    <n v="4747"/>
    <n v="900"/>
    <n v="3847"/>
    <n v="1440"/>
    <n v="4.7"/>
    <n v="2407"/>
  </r>
  <r>
    <x v="88"/>
    <x v="7"/>
    <x v="7"/>
    <x v="0"/>
    <x v="1"/>
    <n v="18"/>
    <n v="4831"/>
    <n v="970"/>
    <n v="3861"/>
    <n v="1530"/>
    <n v="4.4000000000000004"/>
    <n v="2331"/>
  </r>
  <r>
    <x v="89"/>
    <x v="0"/>
    <x v="0"/>
    <x v="0"/>
    <x v="13"/>
    <n v="24"/>
    <n v="6400"/>
    <n v="1280"/>
    <n v="5120"/>
    <n v="1450"/>
    <n v="4.4000000000000004"/>
    <n v="3670"/>
  </r>
  <r>
    <x v="90"/>
    <x v="5"/>
    <x v="5"/>
    <x v="2"/>
    <x v="2"/>
    <n v="26"/>
    <n v="6381"/>
    <n v="1280"/>
    <n v="5101"/>
    <n v="1550"/>
    <n v="4.8"/>
    <n v="3551"/>
  </r>
  <r>
    <x v="91"/>
    <x v="10"/>
    <x v="10"/>
    <x v="0"/>
    <x v="10"/>
    <n v="22"/>
    <n v="6169"/>
    <n v="1360"/>
    <n v="4809"/>
    <n v="1400"/>
    <n v="4.5"/>
    <n v="3409"/>
  </r>
  <r>
    <x v="92"/>
    <x v="3"/>
    <x v="3"/>
    <x v="1"/>
    <x v="12"/>
    <n v="25"/>
    <n v="6139"/>
    <n v="1110"/>
    <n v="5029"/>
    <n v="1800"/>
    <n v="4.5999999999999996"/>
    <n v="3229"/>
  </r>
  <r>
    <x v="93"/>
    <x v="8"/>
    <x v="8"/>
    <x v="2"/>
    <x v="9"/>
    <n v="22"/>
    <n v="5378"/>
    <n v="1020"/>
    <n v="4358"/>
    <n v="1400"/>
    <n v="4.5999999999999996"/>
    <n v="2958"/>
  </r>
  <r>
    <x v="94"/>
    <x v="1"/>
    <x v="1"/>
    <x v="3"/>
    <x v="7"/>
    <n v="26"/>
    <n v="6153"/>
    <n v="1170"/>
    <n v="4983"/>
    <n v="1760"/>
    <n v="4.5"/>
    <n v="3223"/>
  </r>
  <r>
    <x v="95"/>
    <x v="6"/>
    <x v="6"/>
    <x v="1"/>
    <x v="5"/>
    <n v="15"/>
    <n v="3954"/>
    <n v="870"/>
    <n v="3084"/>
    <n v="1420"/>
    <n v="4.5999999999999996"/>
    <n v="1664"/>
  </r>
  <r>
    <x v="96"/>
    <x v="11"/>
    <x v="11"/>
    <x v="1"/>
    <x v="3"/>
    <n v="23"/>
    <n v="6425"/>
    <n v="1220"/>
    <n v="5205"/>
    <n v="1720"/>
    <n v="4.5"/>
    <n v="3485"/>
  </r>
  <r>
    <x v="97"/>
    <x v="4"/>
    <x v="4"/>
    <x v="0"/>
    <x v="1"/>
    <n v="26"/>
    <n v="6401"/>
    <n v="1150"/>
    <n v="5251"/>
    <n v="1550"/>
    <n v="4.8"/>
    <n v="3701"/>
  </r>
  <r>
    <x v="98"/>
    <x v="9"/>
    <x v="9"/>
    <x v="0"/>
    <x v="13"/>
    <n v="19"/>
    <n v="5420"/>
    <n v="1030"/>
    <n v="4390"/>
    <n v="1400"/>
    <n v="4.5"/>
    <n v="2990"/>
  </r>
  <r>
    <x v="99"/>
    <x v="2"/>
    <x v="2"/>
    <x v="2"/>
    <x v="2"/>
    <n v="25"/>
    <n v="6022"/>
    <n v="1080"/>
    <n v="4942"/>
    <n v="1800"/>
    <n v="4.5999999999999996"/>
    <n v="3142"/>
  </r>
  <r>
    <x v="80"/>
    <x v="7"/>
    <x v="7"/>
    <x v="0"/>
    <x v="10"/>
    <n v="17"/>
    <n v="4477"/>
    <n v="900"/>
    <n v="3577"/>
    <n v="1500"/>
    <n v="4.8"/>
    <n v="2077"/>
  </r>
  <r>
    <x v="81"/>
    <x v="0"/>
    <x v="0"/>
    <x v="0"/>
    <x v="8"/>
    <n v="17"/>
    <n v="4139"/>
    <n v="790"/>
    <n v="3349"/>
    <n v="1380"/>
    <n v="4.5999999999999996"/>
    <n v="1969"/>
  </r>
  <r>
    <x v="82"/>
    <x v="5"/>
    <x v="5"/>
    <x v="1"/>
    <x v="4"/>
    <n v="27"/>
    <n v="6550"/>
    <n v="1310"/>
    <n v="5240"/>
    <n v="1660"/>
    <n v="4.7"/>
    <n v="3580"/>
  </r>
  <r>
    <x v="83"/>
    <x v="10"/>
    <x v="10"/>
    <x v="1"/>
    <x v="2"/>
    <n v="20"/>
    <n v="5675"/>
    <n v="1250"/>
    <n v="4425"/>
    <n v="1450"/>
    <n v="4.9000000000000004"/>
    <n v="2975"/>
  </r>
  <r>
    <x v="84"/>
    <x v="3"/>
    <x v="3"/>
    <x v="1"/>
    <x v="5"/>
    <n v="15"/>
    <n v="3710"/>
    <n v="820"/>
    <n v="2890"/>
    <n v="1280"/>
    <n v="4.4000000000000004"/>
    <n v="1610"/>
  </r>
  <r>
    <x v="85"/>
    <x v="8"/>
    <x v="8"/>
    <x v="1"/>
    <x v="3"/>
    <n v="23"/>
    <n v="6014"/>
    <n v="1200"/>
    <n v="4814"/>
    <n v="1560"/>
    <n v="4.7"/>
    <n v="3254"/>
  </r>
  <r>
    <x v="86"/>
    <x v="1"/>
    <x v="1"/>
    <x v="0"/>
    <x v="1"/>
    <n v="22"/>
    <n v="5322"/>
    <n v="1170"/>
    <n v="4152"/>
    <n v="1470"/>
    <n v="4.5"/>
    <n v="2682"/>
  </r>
  <r>
    <x v="87"/>
    <x v="6"/>
    <x v="6"/>
    <x v="0"/>
    <x v="13"/>
    <n v="25"/>
    <n v="6450"/>
    <n v="1420"/>
    <n v="5030"/>
    <n v="1780"/>
    <n v="4.7"/>
    <n v="3250"/>
  </r>
  <r>
    <x v="88"/>
    <x v="11"/>
    <x v="11"/>
    <x v="2"/>
    <x v="2"/>
    <n v="25"/>
    <n v="7138"/>
    <n v="1360"/>
    <n v="5778"/>
    <n v="1600"/>
    <n v="4.5999999999999996"/>
    <n v="4178"/>
  </r>
  <r>
    <x v="89"/>
    <x v="4"/>
    <x v="4"/>
    <x v="0"/>
    <x v="10"/>
    <n v="24"/>
    <n v="6203"/>
    <n v="1240"/>
    <n v="4963"/>
    <n v="1690"/>
    <n v="4.8"/>
    <n v="3273"/>
  </r>
  <r>
    <x v="90"/>
    <x v="9"/>
    <x v="9"/>
    <x v="0"/>
    <x v="8"/>
    <n v="25"/>
    <n v="6379"/>
    <n v="1280"/>
    <n v="5099"/>
    <n v="1720"/>
    <n v="4.5999999999999996"/>
    <n v="3379"/>
  </r>
  <r>
    <x v="91"/>
    <x v="2"/>
    <x v="2"/>
    <x v="1"/>
    <x v="4"/>
    <n v="20"/>
    <n v="5555"/>
    <n v="1220"/>
    <n v="4335"/>
    <n v="1390"/>
    <n v="4.5"/>
    <n v="2945"/>
  </r>
  <r>
    <x v="92"/>
    <x v="7"/>
    <x v="7"/>
    <x v="1"/>
    <x v="2"/>
    <n v="24"/>
    <n v="6289"/>
    <n v="1190"/>
    <n v="5099"/>
    <n v="1670"/>
    <n v="4.7"/>
    <n v="3429"/>
  </r>
  <r>
    <x v="93"/>
    <x v="0"/>
    <x v="0"/>
    <x v="0"/>
    <x v="0"/>
    <n v="20"/>
    <n v="5513"/>
    <n v="990"/>
    <n v="4523"/>
    <n v="1430"/>
    <n v="4.5"/>
    <n v="3093"/>
  </r>
  <r>
    <x v="94"/>
    <x v="5"/>
    <x v="5"/>
    <x v="2"/>
    <x v="14"/>
    <n v="20"/>
    <n v="5748"/>
    <n v="1260"/>
    <n v="4488"/>
    <n v="1550"/>
    <n v="4.5999999999999996"/>
    <n v="2938"/>
  </r>
  <r>
    <x v="95"/>
    <x v="10"/>
    <x v="10"/>
    <x v="1"/>
    <x v="12"/>
    <n v="21"/>
    <n v="5595"/>
    <n v="1060"/>
    <n v="4535"/>
    <n v="1540"/>
    <n v="4.5999999999999996"/>
    <n v="2995"/>
  </r>
  <r>
    <x v="96"/>
    <x v="3"/>
    <x v="3"/>
    <x v="0"/>
    <x v="13"/>
    <n v="26"/>
    <n v="7275"/>
    <n v="1310"/>
    <n v="5965"/>
    <n v="1600"/>
    <n v="4.7"/>
    <n v="4365"/>
  </r>
  <r>
    <x v="97"/>
    <x v="8"/>
    <x v="8"/>
    <x v="2"/>
    <x v="2"/>
    <n v="24"/>
    <n v="6561"/>
    <n v="1180"/>
    <n v="5381"/>
    <n v="1760"/>
    <n v="4.9000000000000004"/>
    <n v="3621"/>
  </r>
  <r>
    <x v="98"/>
    <x v="1"/>
    <x v="1"/>
    <x v="0"/>
    <x v="10"/>
    <n v="17"/>
    <n v="4705"/>
    <n v="890"/>
    <n v="3815"/>
    <n v="1480"/>
    <n v="4.5"/>
    <n v="2335"/>
  </r>
  <r>
    <x v="99"/>
    <x v="6"/>
    <x v="6"/>
    <x v="0"/>
    <x v="8"/>
    <n v="14"/>
    <n v="3280"/>
    <n v="690"/>
    <n v="2590"/>
    <n v="1330"/>
    <n v="4.8"/>
    <n v="1260"/>
  </r>
  <r>
    <x v="100"/>
    <x v="6"/>
    <x v="6"/>
    <x v="0"/>
    <x v="13"/>
    <n v="16"/>
    <n v="4377"/>
    <n v="960"/>
    <n v="3417"/>
    <n v="1320"/>
    <n v="4.8"/>
    <n v="2097"/>
  </r>
  <r>
    <x v="101"/>
    <x v="7"/>
    <x v="7"/>
    <x v="2"/>
    <x v="14"/>
    <n v="26"/>
    <n v="7801"/>
    <n v="1720"/>
    <n v="6081"/>
    <n v="1640"/>
    <n v="4.3"/>
    <n v="4441"/>
  </r>
  <r>
    <x v="102"/>
    <x v="8"/>
    <x v="8"/>
    <x v="0"/>
    <x v="15"/>
    <n v="15"/>
    <n v="3612"/>
    <n v="650"/>
    <n v="2962"/>
    <n v="1220"/>
    <n v="4.8"/>
    <n v="1742"/>
  </r>
  <r>
    <x v="103"/>
    <x v="9"/>
    <x v="9"/>
    <x v="0"/>
    <x v="0"/>
    <n v="28"/>
    <n v="7407"/>
    <n v="1560"/>
    <n v="5847"/>
    <n v="1650"/>
    <n v="4.9000000000000004"/>
    <n v="4197"/>
  </r>
  <r>
    <x v="104"/>
    <x v="10"/>
    <x v="10"/>
    <x v="0"/>
    <x v="1"/>
    <n v="24"/>
    <n v="6471"/>
    <n v="1290"/>
    <n v="5181"/>
    <n v="1510"/>
    <n v="4.5999999999999996"/>
    <n v="3671"/>
  </r>
  <r>
    <x v="105"/>
    <x v="11"/>
    <x v="11"/>
    <x v="1"/>
    <x v="2"/>
    <n v="22"/>
    <n v="6178"/>
    <n v="1360"/>
    <n v="4818"/>
    <n v="1390"/>
    <n v="4.8"/>
    <n v="3428"/>
  </r>
  <r>
    <x v="106"/>
    <x v="0"/>
    <x v="0"/>
    <x v="1"/>
    <x v="3"/>
    <n v="24"/>
    <n v="6620"/>
    <n v="1390"/>
    <n v="5230"/>
    <n v="1470"/>
    <n v="4.8"/>
    <n v="3760"/>
  </r>
  <r>
    <x v="107"/>
    <x v="1"/>
    <x v="1"/>
    <x v="1"/>
    <x v="4"/>
    <n v="28"/>
    <n v="6789"/>
    <n v="1490"/>
    <n v="5299"/>
    <n v="1940"/>
    <n v="4.8"/>
    <n v="3359"/>
  </r>
  <r>
    <x v="108"/>
    <x v="2"/>
    <x v="2"/>
    <x v="1"/>
    <x v="5"/>
    <n v="25"/>
    <n v="7312"/>
    <n v="1540"/>
    <n v="5772"/>
    <n v="1720"/>
    <n v="4.5999999999999996"/>
    <n v="4052"/>
  </r>
  <r>
    <x v="109"/>
    <x v="3"/>
    <x v="3"/>
    <x v="2"/>
    <x v="6"/>
    <n v="13"/>
    <n v="3235"/>
    <n v="580"/>
    <n v="2655"/>
    <n v="1330"/>
    <n v="4.8"/>
    <n v="1325"/>
  </r>
  <r>
    <x v="110"/>
    <x v="4"/>
    <x v="4"/>
    <x v="3"/>
    <x v="7"/>
    <n v="16"/>
    <n v="4584"/>
    <n v="870"/>
    <n v="3714"/>
    <n v="1310"/>
    <n v="4.8"/>
    <n v="2404"/>
  </r>
  <r>
    <x v="111"/>
    <x v="5"/>
    <x v="5"/>
    <x v="0"/>
    <x v="8"/>
    <n v="16"/>
    <n v="4648"/>
    <n v="1020"/>
    <n v="3628"/>
    <n v="1340"/>
    <n v="4.5"/>
    <n v="2288"/>
  </r>
  <r>
    <x v="112"/>
    <x v="6"/>
    <x v="6"/>
    <x v="2"/>
    <x v="9"/>
    <n v="22"/>
    <n v="6626"/>
    <n v="1390"/>
    <n v="5236"/>
    <n v="1660"/>
    <n v="4.5999999999999996"/>
    <n v="3576"/>
  </r>
  <r>
    <x v="113"/>
    <x v="7"/>
    <x v="7"/>
    <x v="0"/>
    <x v="10"/>
    <n v="22"/>
    <n v="5582"/>
    <n v="1000"/>
    <n v="4582"/>
    <n v="1490"/>
    <n v="4.9000000000000004"/>
    <n v="3092"/>
  </r>
  <r>
    <x v="114"/>
    <x v="8"/>
    <x v="8"/>
    <x v="1"/>
    <x v="11"/>
    <n v="29"/>
    <n v="8387"/>
    <n v="1590"/>
    <n v="6797"/>
    <n v="1710"/>
    <n v="4.5999999999999996"/>
    <n v="5087"/>
  </r>
  <r>
    <x v="115"/>
    <x v="9"/>
    <x v="9"/>
    <x v="2"/>
    <x v="2"/>
    <n v="28"/>
    <n v="7737"/>
    <n v="1550"/>
    <n v="6187"/>
    <n v="1700"/>
    <n v="4.9000000000000004"/>
    <n v="4487"/>
  </r>
  <r>
    <x v="116"/>
    <x v="10"/>
    <x v="10"/>
    <x v="1"/>
    <x v="12"/>
    <n v="16"/>
    <n v="4508"/>
    <n v="950"/>
    <n v="3558"/>
    <n v="1280"/>
    <n v="4.8"/>
    <n v="2278"/>
  </r>
  <r>
    <x v="117"/>
    <x v="11"/>
    <x v="11"/>
    <x v="0"/>
    <x v="13"/>
    <n v="28"/>
    <n v="6540"/>
    <n v="1370"/>
    <n v="5170"/>
    <n v="1610"/>
    <n v="4.4000000000000004"/>
    <n v="3560"/>
  </r>
  <r>
    <x v="118"/>
    <x v="0"/>
    <x v="0"/>
    <x v="2"/>
    <x v="14"/>
    <n v="26"/>
    <n v="6428"/>
    <n v="1160"/>
    <n v="5268"/>
    <n v="1420"/>
    <n v="4.5999999999999996"/>
    <n v="3848"/>
  </r>
  <r>
    <x v="119"/>
    <x v="1"/>
    <x v="1"/>
    <x v="0"/>
    <x v="15"/>
    <n v="15"/>
    <n v="3756"/>
    <n v="680"/>
    <n v="3076"/>
    <n v="1260"/>
    <n v="4.8"/>
    <n v="1816"/>
  </r>
  <r>
    <x v="100"/>
    <x v="2"/>
    <x v="2"/>
    <x v="0"/>
    <x v="0"/>
    <n v="21"/>
    <n v="5629"/>
    <n v="1010"/>
    <n v="4619"/>
    <n v="1520"/>
    <n v="4.5999999999999996"/>
    <n v="3099"/>
  </r>
  <r>
    <x v="101"/>
    <x v="3"/>
    <x v="3"/>
    <x v="0"/>
    <x v="1"/>
    <n v="28"/>
    <n v="6770"/>
    <n v="1420"/>
    <n v="5350"/>
    <n v="1730"/>
    <n v="4.9000000000000004"/>
    <n v="3620"/>
  </r>
  <r>
    <x v="102"/>
    <x v="4"/>
    <x v="4"/>
    <x v="1"/>
    <x v="2"/>
    <n v="29"/>
    <n v="7521"/>
    <n v="1580"/>
    <n v="5941"/>
    <n v="1800"/>
    <n v="4.9000000000000004"/>
    <n v="4141"/>
  </r>
  <r>
    <x v="103"/>
    <x v="5"/>
    <x v="5"/>
    <x v="1"/>
    <x v="3"/>
    <n v="22"/>
    <n v="6448"/>
    <n v="1350"/>
    <n v="5098"/>
    <n v="1590"/>
    <n v="4.5999999999999996"/>
    <n v="3508"/>
  </r>
  <r>
    <x v="104"/>
    <x v="6"/>
    <x v="6"/>
    <x v="1"/>
    <x v="4"/>
    <n v="19"/>
    <n v="5074"/>
    <n v="910"/>
    <n v="4164"/>
    <n v="1350"/>
    <n v="4.3"/>
    <n v="2814"/>
  </r>
  <r>
    <x v="105"/>
    <x v="7"/>
    <x v="7"/>
    <x v="1"/>
    <x v="5"/>
    <n v="24"/>
    <n v="6373"/>
    <n v="1150"/>
    <n v="5223"/>
    <n v="1660"/>
    <n v="4.5"/>
    <n v="3563"/>
  </r>
  <r>
    <x v="106"/>
    <x v="8"/>
    <x v="8"/>
    <x v="2"/>
    <x v="6"/>
    <n v="22"/>
    <n v="6250"/>
    <n v="1120"/>
    <n v="5130"/>
    <n v="1560"/>
    <n v="4.5999999999999996"/>
    <n v="3570"/>
  </r>
  <r>
    <x v="107"/>
    <x v="9"/>
    <x v="9"/>
    <x v="3"/>
    <x v="7"/>
    <n v="18"/>
    <n v="4377"/>
    <n v="920"/>
    <n v="3457"/>
    <n v="1440"/>
    <n v="4.5999999999999996"/>
    <n v="2017"/>
  </r>
  <r>
    <x v="108"/>
    <x v="10"/>
    <x v="10"/>
    <x v="0"/>
    <x v="8"/>
    <n v="20"/>
    <n v="4744"/>
    <n v="850"/>
    <n v="3894"/>
    <n v="1340"/>
    <n v="4.3"/>
    <n v="2554"/>
  </r>
  <r>
    <x v="109"/>
    <x v="11"/>
    <x v="11"/>
    <x v="2"/>
    <x v="9"/>
    <n v="14"/>
    <n v="3924"/>
    <n v="820"/>
    <n v="3104"/>
    <n v="1240"/>
    <n v="4.4000000000000004"/>
    <n v="1864"/>
  </r>
  <r>
    <x v="110"/>
    <x v="0"/>
    <x v="0"/>
    <x v="0"/>
    <x v="10"/>
    <n v="29"/>
    <n v="7258"/>
    <n v="1380"/>
    <n v="5878"/>
    <n v="1810"/>
    <n v="4.5"/>
    <n v="4068"/>
  </r>
  <r>
    <x v="111"/>
    <x v="1"/>
    <x v="1"/>
    <x v="1"/>
    <x v="11"/>
    <n v="26"/>
    <n v="7710"/>
    <n v="1390"/>
    <n v="6320"/>
    <n v="1630"/>
    <n v="4.4000000000000004"/>
    <n v="4690"/>
  </r>
  <r>
    <x v="112"/>
    <x v="2"/>
    <x v="2"/>
    <x v="2"/>
    <x v="2"/>
    <n v="18"/>
    <n v="4761"/>
    <n v="1000"/>
    <n v="3761"/>
    <n v="1510"/>
    <n v="4.5"/>
    <n v="2251"/>
  </r>
  <r>
    <x v="113"/>
    <x v="3"/>
    <x v="3"/>
    <x v="1"/>
    <x v="12"/>
    <n v="18"/>
    <n v="4914"/>
    <n v="1030"/>
    <n v="3884"/>
    <n v="1340"/>
    <n v="4.8"/>
    <n v="2544"/>
  </r>
  <r>
    <x v="114"/>
    <x v="4"/>
    <x v="4"/>
    <x v="0"/>
    <x v="13"/>
    <n v="21"/>
    <n v="4966"/>
    <n v="940"/>
    <n v="4026"/>
    <n v="1290"/>
    <n v="4.8"/>
    <n v="2736"/>
  </r>
  <r>
    <x v="115"/>
    <x v="5"/>
    <x v="5"/>
    <x v="2"/>
    <x v="14"/>
    <n v="23"/>
    <n v="6344"/>
    <n v="1140"/>
    <n v="5204"/>
    <n v="1470"/>
    <n v="4.5"/>
    <n v="3734"/>
  </r>
  <r>
    <x v="116"/>
    <x v="6"/>
    <x v="6"/>
    <x v="0"/>
    <x v="15"/>
    <n v="19"/>
    <n v="4564"/>
    <n v="1000"/>
    <n v="3564"/>
    <n v="1590"/>
    <n v="4.7"/>
    <n v="1974"/>
  </r>
  <r>
    <x v="117"/>
    <x v="7"/>
    <x v="7"/>
    <x v="0"/>
    <x v="0"/>
    <n v="22"/>
    <n v="5645"/>
    <n v="1020"/>
    <n v="4625"/>
    <n v="1620"/>
    <n v="4.4000000000000004"/>
    <n v="3005"/>
  </r>
  <r>
    <x v="118"/>
    <x v="8"/>
    <x v="8"/>
    <x v="0"/>
    <x v="1"/>
    <n v="26"/>
    <n v="6330"/>
    <n v="1140"/>
    <n v="5190"/>
    <n v="1800"/>
    <n v="4.7"/>
    <n v="3390"/>
  </r>
  <r>
    <x v="119"/>
    <x v="9"/>
    <x v="9"/>
    <x v="1"/>
    <x v="2"/>
    <n v="18"/>
    <n v="4423"/>
    <n v="880"/>
    <n v="3543"/>
    <n v="1410"/>
    <n v="4.8"/>
    <n v="2133"/>
  </r>
  <r>
    <x v="100"/>
    <x v="10"/>
    <x v="10"/>
    <x v="1"/>
    <x v="3"/>
    <n v="22"/>
    <n v="5792"/>
    <n v="1160"/>
    <n v="4632"/>
    <n v="1400"/>
    <n v="4.3"/>
    <n v="3232"/>
  </r>
  <r>
    <x v="101"/>
    <x v="11"/>
    <x v="11"/>
    <x v="1"/>
    <x v="4"/>
    <n v="21"/>
    <n v="5725"/>
    <n v="1030"/>
    <n v="4695"/>
    <n v="1350"/>
    <n v="4.3"/>
    <n v="3345"/>
  </r>
  <r>
    <x v="102"/>
    <x v="0"/>
    <x v="0"/>
    <x v="1"/>
    <x v="5"/>
    <n v="16"/>
    <n v="3851"/>
    <n v="770"/>
    <n v="3081"/>
    <n v="1440"/>
    <n v="4.7"/>
    <n v="1641"/>
  </r>
  <r>
    <x v="103"/>
    <x v="1"/>
    <x v="1"/>
    <x v="2"/>
    <x v="6"/>
    <n v="14"/>
    <n v="3905"/>
    <n v="860"/>
    <n v="3045"/>
    <n v="1280"/>
    <n v="4.5999999999999996"/>
    <n v="1765"/>
  </r>
  <r>
    <x v="104"/>
    <x v="2"/>
    <x v="2"/>
    <x v="3"/>
    <x v="7"/>
    <n v="16"/>
    <n v="4488"/>
    <n v="900"/>
    <n v="3588"/>
    <n v="1310"/>
    <n v="4.9000000000000004"/>
    <n v="2278"/>
  </r>
  <r>
    <x v="105"/>
    <x v="3"/>
    <x v="3"/>
    <x v="0"/>
    <x v="8"/>
    <n v="24"/>
    <n v="5671"/>
    <n v="1020"/>
    <n v="4651"/>
    <n v="1520"/>
    <n v="4.5"/>
    <n v="3131"/>
  </r>
  <r>
    <x v="106"/>
    <x v="4"/>
    <x v="4"/>
    <x v="2"/>
    <x v="9"/>
    <n v="16"/>
    <n v="4301"/>
    <n v="860"/>
    <n v="3441"/>
    <n v="1280"/>
    <n v="4.5999999999999996"/>
    <n v="2161"/>
  </r>
  <r>
    <x v="107"/>
    <x v="5"/>
    <x v="5"/>
    <x v="0"/>
    <x v="10"/>
    <n v="23"/>
    <n v="5658"/>
    <n v="1020"/>
    <n v="4638"/>
    <n v="1520"/>
    <n v="4.4000000000000004"/>
    <n v="3118"/>
  </r>
  <r>
    <x v="108"/>
    <x v="6"/>
    <x v="6"/>
    <x v="1"/>
    <x v="11"/>
    <n v="14"/>
    <n v="3435"/>
    <n v="760"/>
    <n v="2675"/>
    <n v="1300"/>
    <n v="4.3"/>
    <n v="1375"/>
  </r>
  <r>
    <x v="109"/>
    <x v="7"/>
    <x v="7"/>
    <x v="2"/>
    <x v="2"/>
    <n v="17"/>
    <n v="4682"/>
    <n v="980"/>
    <n v="3702"/>
    <n v="1320"/>
    <n v="4.8"/>
    <n v="2382"/>
  </r>
  <r>
    <x v="110"/>
    <x v="8"/>
    <x v="8"/>
    <x v="1"/>
    <x v="12"/>
    <n v="20"/>
    <n v="4793"/>
    <n v="1050"/>
    <n v="3743"/>
    <n v="1380"/>
    <n v="4.7"/>
    <n v="2363"/>
  </r>
  <r>
    <x v="111"/>
    <x v="9"/>
    <x v="9"/>
    <x v="0"/>
    <x v="13"/>
    <n v="25"/>
    <n v="6380"/>
    <n v="1210"/>
    <n v="5170"/>
    <n v="1370"/>
    <n v="4.5"/>
    <n v="3800"/>
  </r>
  <r>
    <x v="112"/>
    <x v="10"/>
    <x v="10"/>
    <x v="2"/>
    <x v="14"/>
    <n v="28"/>
    <n v="7799"/>
    <n v="1560"/>
    <n v="6239"/>
    <n v="1660"/>
    <n v="4.7"/>
    <n v="4579"/>
  </r>
  <r>
    <x v="113"/>
    <x v="11"/>
    <x v="11"/>
    <x v="0"/>
    <x v="15"/>
    <n v="18"/>
    <n v="5209"/>
    <n v="1150"/>
    <n v="4059"/>
    <n v="1490"/>
    <n v="4.5"/>
    <n v="2569"/>
  </r>
  <r>
    <x v="114"/>
    <x v="0"/>
    <x v="0"/>
    <x v="0"/>
    <x v="0"/>
    <n v="29"/>
    <n v="7593"/>
    <n v="1370"/>
    <n v="6223"/>
    <n v="1830"/>
    <n v="4.5999999999999996"/>
    <n v="4393"/>
  </r>
  <r>
    <x v="115"/>
    <x v="1"/>
    <x v="1"/>
    <x v="0"/>
    <x v="1"/>
    <n v="20"/>
    <n v="5757"/>
    <n v="1210"/>
    <n v="4547"/>
    <n v="1550"/>
    <n v="4.9000000000000004"/>
    <n v="2997"/>
  </r>
  <r>
    <x v="116"/>
    <x v="2"/>
    <x v="2"/>
    <x v="1"/>
    <x v="2"/>
    <n v="20"/>
    <n v="5255"/>
    <n v="1000"/>
    <n v="4255"/>
    <n v="1430"/>
    <n v="4.5999999999999996"/>
    <n v="2825"/>
  </r>
  <r>
    <x v="117"/>
    <x v="3"/>
    <x v="3"/>
    <x v="1"/>
    <x v="3"/>
    <n v="27"/>
    <n v="8087"/>
    <n v="1780"/>
    <n v="6307"/>
    <n v="1580"/>
    <n v="4.4000000000000004"/>
    <n v="4727"/>
  </r>
  <r>
    <x v="118"/>
    <x v="4"/>
    <x v="4"/>
    <x v="1"/>
    <x v="4"/>
    <n v="26"/>
    <n v="6472"/>
    <n v="1160"/>
    <n v="5312"/>
    <n v="1660"/>
    <n v="4.7"/>
    <n v="3652"/>
  </r>
  <r>
    <x v="119"/>
    <x v="5"/>
    <x v="5"/>
    <x v="1"/>
    <x v="5"/>
    <n v="14"/>
    <n v="3381"/>
    <n v="680"/>
    <n v="2701"/>
    <n v="1290"/>
    <n v="4.7"/>
    <n v="1411"/>
  </r>
  <r>
    <x v="100"/>
    <x v="6"/>
    <x v="6"/>
    <x v="2"/>
    <x v="6"/>
    <n v="17"/>
    <n v="3918"/>
    <n v="860"/>
    <n v="3058"/>
    <n v="1360"/>
    <n v="4.5"/>
    <n v="1698"/>
  </r>
  <r>
    <x v="101"/>
    <x v="7"/>
    <x v="7"/>
    <x v="3"/>
    <x v="7"/>
    <n v="14"/>
    <n v="3924"/>
    <n v="860"/>
    <n v="3064"/>
    <n v="1240"/>
    <n v="4.9000000000000004"/>
    <n v="1824"/>
  </r>
  <r>
    <x v="102"/>
    <x v="8"/>
    <x v="8"/>
    <x v="0"/>
    <x v="8"/>
    <n v="16"/>
    <n v="3712"/>
    <n v="780"/>
    <n v="2932"/>
    <n v="1360"/>
    <n v="4.5"/>
    <n v="1572"/>
  </r>
  <r>
    <x v="103"/>
    <x v="9"/>
    <x v="9"/>
    <x v="2"/>
    <x v="9"/>
    <n v="14"/>
    <n v="3449"/>
    <n v="690"/>
    <n v="2759"/>
    <n v="1280"/>
    <n v="4.5"/>
    <n v="1479"/>
  </r>
  <r>
    <x v="104"/>
    <x v="10"/>
    <x v="10"/>
    <x v="0"/>
    <x v="10"/>
    <n v="17"/>
    <n v="4634"/>
    <n v="830"/>
    <n v="3804"/>
    <n v="1540"/>
    <n v="4.7"/>
    <n v="2264"/>
  </r>
  <r>
    <x v="105"/>
    <x v="11"/>
    <x v="11"/>
    <x v="1"/>
    <x v="11"/>
    <n v="26"/>
    <n v="6987"/>
    <n v="1540"/>
    <n v="5447"/>
    <n v="1440"/>
    <n v="4.5"/>
    <n v="4007"/>
  </r>
  <r>
    <x v="106"/>
    <x v="0"/>
    <x v="0"/>
    <x v="2"/>
    <x v="2"/>
    <n v="17"/>
    <n v="4059"/>
    <n v="730"/>
    <n v="3329"/>
    <n v="1300"/>
    <n v="4.8"/>
    <n v="2029"/>
  </r>
  <r>
    <x v="107"/>
    <x v="1"/>
    <x v="1"/>
    <x v="1"/>
    <x v="12"/>
    <n v="15"/>
    <n v="4114"/>
    <n v="780"/>
    <n v="3334"/>
    <n v="1270"/>
    <n v="4.7"/>
    <n v="2064"/>
  </r>
  <r>
    <x v="108"/>
    <x v="2"/>
    <x v="2"/>
    <x v="0"/>
    <x v="13"/>
    <n v="20"/>
    <n v="4754"/>
    <n v="950"/>
    <n v="3804"/>
    <n v="1410"/>
    <n v="4.8"/>
    <n v="2394"/>
  </r>
  <r>
    <x v="109"/>
    <x v="3"/>
    <x v="3"/>
    <x v="2"/>
    <x v="14"/>
    <n v="15"/>
    <n v="4109"/>
    <n v="900"/>
    <n v="3209"/>
    <n v="1200"/>
    <n v="4.5"/>
    <n v="2009"/>
  </r>
  <r>
    <x v="110"/>
    <x v="4"/>
    <x v="4"/>
    <x v="0"/>
    <x v="15"/>
    <n v="28"/>
    <n v="6726"/>
    <n v="1350"/>
    <n v="5376"/>
    <n v="1840"/>
    <n v="4.9000000000000004"/>
    <n v="3536"/>
  </r>
  <r>
    <x v="111"/>
    <x v="5"/>
    <x v="5"/>
    <x v="0"/>
    <x v="0"/>
    <n v="24"/>
    <n v="5555"/>
    <n v="1000"/>
    <n v="4555"/>
    <n v="1760"/>
    <n v="4.8"/>
    <n v="2795"/>
  </r>
  <r>
    <x v="112"/>
    <x v="6"/>
    <x v="6"/>
    <x v="0"/>
    <x v="1"/>
    <n v="21"/>
    <n v="5279"/>
    <n v="1060"/>
    <n v="4219"/>
    <n v="1520"/>
    <n v="4.5999999999999996"/>
    <n v="2699"/>
  </r>
  <r>
    <x v="113"/>
    <x v="7"/>
    <x v="7"/>
    <x v="1"/>
    <x v="2"/>
    <n v="23"/>
    <n v="6710"/>
    <n v="1340"/>
    <n v="5370"/>
    <n v="1410"/>
    <n v="4.8"/>
    <n v="3960"/>
  </r>
  <r>
    <x v="114"/>
    <x v="8"/>
    <x v="8"/>
    <x v="1"/>
    <x v="3"/>
    <n v="20"/>
    <n v="5439"/>
    <n v="1140"/>
    <n v="4299"/>
    <n v="1650"/>
    <n v="4.5"/>
    <n v="2649"/>
  </r>
  <r>
    <x v="115"/>
    <x v="9"/>
    <x v="9"/>
    <x v="1"/>
    <x v="4"/>
    <n v="17"/>
    <n v="4722"/>
    <n v="990"/>
    <n v="3732"/>
    <n v="1310"/>
    <n v="4.8"/>
    <n v="2422"/>
  </r>
  <r>
    <x v="116"/>
    <x v="10"/>
    <x v="10"/>
    <x v="1"/>
    <x v="5"/>
    <n v="23"/>
    <n v="6064"/>
    <n v="1210"/>
    <n v="4854"/>
    <n v="1500"/>
    <n v="4.7"/>
    <n v="3354"/>
  </r>
  <r>
    <x v="117"/>
    <x v="11"/>
    <x v="11"/>
    <x v="2"/>
    <x v="6"/>
    <n v="20"/>
    <n v="5293"/>
    <n v="1160"/>
    <n v="4133"/>
    <n v="1510"/>
    <n v="4.5"/>
    <n v="2623"/>
  </r>
  <r>
    <x v="118"/>
    <x v="0"/>
    <x v="0"/>
    <x v="3"/>
    <x v="7"/>
    <n v="27"/>
    <n v="7536"/>
    <n v="1360"/>
    <n v="6176"/>
    <n v="1720"/>
    <n v="4.7"/>
    <n v="4456"/>
  </r>
  <r>
    <x v="119"/>
    <x v="1"/>
    <x v="1"/>
    <x v="0"/>
    <x v="8"/>
    <n v="23"/>
    <n v="5584"/>
    <n v="1230"/>
    <n v="4354"/>
    <n v="1560"/>
    <n v="4.5999999999999996"/>
    <n v="2794"/>
  </r>
  <r>
    <x v="100"/>
    <x v="2"/>
    <x v="2"/>
    <x v="2"/>
    <x v="9"/>
    <n v="23"/>
    <n v="5420"/>
    <n v="1030"/>
    <n v="4390"/>
    <n v="1390"/>
    <n v="4.5999999999999996"/>
    <n v="3000"/>
  </r>
  <r>
    <x v="101"/>
    <x v="3"/>
    <x v="3"/>
    <x v="0"/>
    <x v="10"/>
    <n v="21"/>
    <n v="5112"/>
    <n v="1120"/>
    <n v="3992"/>
    <n v="1630"/>
    <n v="4.5"/>
    <n v="2362"/>
  </r>
  <r>
    <x v="102"/>
    <x v="4"/>
    <x v="4"/>
    <x v="1"/>
    <x v="11"/>
    <n v="28"/>
    <n v="8061"/>
    <n v="1450"/>
    <n v="6611"/>
    <n v="1500"/>
    <n v="4.7"/>
    <n v="5111"/>
  </r>
  <r>
    <x v="103"/>
    <x v="5"/>
    <x v="5"/>
    <x v="2"/>
    <x v="2"/>
    <n v="21"/>
    <n v="5475"/>
    <n v="1040"/>
    <n v="4435"/>
    <n v="1640"/>
    <n v="4.5999999999999996"/>
    <n v="2795"/>
  </r>
  <r>
    <x v="104"/>
    <x v="6"/>
    <x v="6"/>
    <x v="1"/>
    <x v="12"/>
    <n v="24"/>
    <n v="5616"/>
    <n v="1240"/>
    <n v="4376"/>
    <n v="1630"/>
    <n v="4.9000000000000004"/>
    <n v="2746"/>
  </r>
  <r>
    <x v="105"/>
    <x v="7"/>
    <x v="7"/>
    <x v="0"/>
    <x v="13"/>
    <n v="17"/>
    <n v="4531"/>
    <n v="950"/>
    <n v="3581"/>
    <n v="1370"/>
    <n v="4.7"/>
    <n v="2211"/>
  </r>
  <r>
    <x v="106"/>
    <x v="8"/>
    <x v="8"/>
    <x v="2"/>
    <x v="14"/>
    <n v="22"/>
    <n v="5263"/>
    <n v="1160"/>
    <n v="4103"/>
    <n v="1660"/>
    <n v="4.5999999999999996"/>
    <n v="2443"/>
  </r>
  <r>
    <x v="107"/>
    <x v="9"/>
    <x v="9"/>
    <x v="0"/>
    <x v="15"/>
    <n v="16"/>
    <n v="3666"/>
    <n v="770"/>
    <n v="2896"/>
    <n v="1180"/>
    <n v="4.5999999999999996"/>
    <n v="1716"/>
  </r>
  <r>
    <x v="108"/>
    <x v="10"/>
    <x v="10"/>
    <x v="0"/>
    <x v="0"/>
    <n v="29"/>
    <n v="7487"/>
    <n v="1500"/>
    <n v="5987"/>
    <n v="1710"/>
    <n v="4.5"/>
    <n v="4277"/>
  </r>
  <r>
    <x v="109"/>
    <x v="11"/>
    <x v="11"/>
    <x v="0"/>
    <x v="1"/>
    <n v="28"/>
    <n v="7326"/>
    <n v="1470"/>
    <n v="5856"/>
    <n v="1880"/>
    <n v="4.3"/>
    <n v="3976"/>
  </r>
  <r>
    <x v="110"/>
    <x v="0"/>
    <x v="0"/>
    <x v="1"/>
    <x v="2"/>
    <n v="28"/>
    <n v="6667"/>
    <n v="1400"/>
    <n v="5267"/>
    <n v="1880"/>
    <n v="4.5"/>
    <n v="3387"/>
  </r>
  <r>
    <x v="111"/>
    <x v="1"/>
    <x v="1"/>
    <x v="1"/>
    <x v="3"/>
    <n v="27"/>
    <n v="6818"/>
    <n v="1360"/>
    <n v="5458"/>
    <n v="1740"/>
    <n v="4.5"/>
    <n v="3718"/>
  </r>
  <r>
    <x v="112"/>
    <x v="2"/>
    <x v="2"/>
    <x v="1"/>
    <x v="4"/>
    <n v="14"/>
    <n v="3791"/>
    <n v="830"/>
    <n v="2961"/>
    <n v="1360"/>
    <n v="4.8"/>
    <n v="1601"/>
  </r>
  <r>
    <x v="113"/>
    <x v="3"/>
    <x v="3"/>
    <x v="1"/>
    <x v="5"/>
    <n v="22"/>
    <n v="6218"/>
    <n v="1370"/>
    <n v="4848"/>
    <n v="1620"/>
    <n v="4.5"/>
    <n v="3228"/>
  </r>
  <r>
    <x v="114"/>
    <x v="4"/>
    <x v="4"/>
    <x v="2"/>
    <x v="6"/>
    <n v="23"/>
    <n v="6228"/>
    <n v="1180"/>
    <n v="5048"/>
    <n v="1480"/>
    <n v="4.8"/>
    <n v="3568"/>
  </r>
  <r>
    <x v="115"/>
    <x v="5"/>
    <x v="5"/>
    <x v="3"/>
    <x v="7"/>
    <n v="18"/>
    <n v="4702"/>
    <n v="850"/>
    <n v="3852"/>
    <n v="1400"/>
    <n v="4.3"/>
    <n v="2452"/>
  </r>
  <r>
    <x v="116"/>
    <x v="6"/>
    <x v="6"/>
    <x v="0"/>
    <x v="8"/>
    <n v="20"/>
    <n v="5119"/>
    <n v="1130"/>
    <n v="3989"/>
    <n v="1630"/>
    <n v="4.4000000000000004"/>
    <n v="2359"/>
  </r>
  <r>
    <x v="117"/>
    <x v="7"/>
    <x v="7"/>
    <x v="2"/>
    <x v="9"/>
    <n v="19"/>
    <n v="5051"/>
    <n v="960"/>
    <n v="4091"/>
    <n v="1450"/>
    <n v="4.5"/>
    <n v="2641"/>
  </r>
  <r>
    <x v="118"/>
    <x v="8"/>
    <x v="8"/>
    <x v="0"/>
    <x v="10"/>
    <n v="25"/>
    <n v="7301"/>
    <n v="1390"/>
    <n v="5911"/>
    <n v="1740"/>
    <n v="4.7"/>
    <n v="4171"/>
  </r>
  <r>
    <x v="119"/>
    <x v="9"/>
    <x v="9"/>
    <x v="1"/>
    <x v="11"/>
    <n v="17"/>
    <n v="4078"/>
    <n v="900"/>
    <n v="3178"/>
    <n v="1170"/>
    <n v="4.5"/>
    <n v="2008"/>
  </r>
  <r>
    <x v="120"/>
    <x v="1"/>
    <x v="1"/>
    <x v="2"/>
    <x v="9"/>
    <n v="19"/>
    <n v="5182"/>
    <n v="930"/>
    <n v="4252"/>
    <n v="1170"/>
    <n v="4.5"/>
    <n v="3082"/>
  </r>
  <r>
    <x v="121"/>
    <x v="8"/>
    <x v="8"/>
    <x v="1"/>
    <x v="3"/>
    <n v="10"/>
    <n v="2751"/>
    <n v="550"/>
    <n v="2201"/>
    <n v="1030"/>
    <n v="4.4000000000000004"/>
    <n v="1171"/>
  </r>
  <r>
    <x v="122"/>
    <x v="3"/>
    <x v="3"/>
    <x v="0"/>
    <x v="13"/>
    <n v="15"/>
    <n v="3295"/>
    <n v="690"/>
    <n v="2605"/>
    <n v="1210"/>
    <n v="4.3"/>
    <n v="1395"/>
  </r>
  <r>
    <x v="123"/>
    <x v="10"/>
    <x v="10"/>
    <x v="0"/>
    <x v="8"/>
    <n v="27"/>
    <n v="6297"/>
    <n v="1130"/>
    <n v="5167"/>
    <n v="1600"/>
    <n v="4.4000000000000004"/>
    <n v="3567"/>
  </r>
  <r>
    <x v="124"/>
    <x v="5"/>
    <x v="5"/>
    <x v="1"/>
    <x v="2"/>
    <n v="25"/>
    <n v="7024"/>
    <n v="1260"/>
    <n v="5764"/>
    <n v="1580"/>
    <n v="4.5"/>
    <n v="4184"/>
  </r>
  <r>
    <x v="125"/>
    <x v="0"/>
    <x v="0"/>
    <x v="1"/>
    <x v="12"/>
    <n v="21"/>
    <n v="5688"/>
    <n v="1140"/>
    <n v="4548"/>
    <n v="1310"/>
    <n v="4.8"/>
    <n v="3238"/>
  </r>
  <r>
    <x v="126"/>
    <x v="7"/>
    <x v="7"/>
    <x v="3"/>
    <x v="7"/>
    <n v="13"/>
    <n v="3156"/>
    <n v="600"/>
    <n v="2556"/>
    <n v="1100"/>
    <n v="4.4000000000000004"/>
    <n v="1456"/>
  </r>
  <r>
    <x v="127"/>
    <x v="2"/>
    <x v="2"/>
    <x v="0"/>
    <x v="1"/>
    <n v="28"/>
    <n v="6670"/>
    <n v="1400"/>
    <n v="5270"/>
    <n v="1520"/>
    <n v="4.9000000000000004"/>
    <n v="3750"/>
  </r>
  <r>
    <x v="128"/>
    <x v="9"/>
    <x v="9"/>
    <x v="2"/>
    <x v="2"/>
    <n v="10"/>
    <n v="2317"/>
    <n v="420"/>
    <n v="1897"/>
    <n v="1070"/>
    <n v="4.3"/>
    <n v="827"/>
  </r>
  <r>
    <x v="129"/>
    <x v="4"/>
    <x v="4"/>
    <x v="2"/>
    <x v="6"/>
    <n v="26"/>
    <n v="7436"/>
    <n v="1410"/>
    <n v="6026"/>
    <n v="1740"/>
    <n v="4.8"/>
    <n v="4286"/>
  </r>
  <r>
    <x v="130"/>
    <x v="11"/>
    <x v="11"/>
    <x v="0"/>
    <x v="0"/>
    <n v="17"/>
    <n v="3994"/>
    <n v="760"/>
    <n v="3234"/>
    <n v="1460"/>
    <n v="4.8"/>
    <n v="1774"/>
  </r>
  <r>
    <x v="131"/>
    <x v="6"/>
    <x v="6"/>
    <x v="1"/>
    <x v="11"/>
    <n v="24"/>
    <n v="5294"/>
    <n v="950"/>
    <n v="4344"/>
    <n v="1430"/>
    <n v="4.7"/>
    <n v="2914"/>
  </r>
  <r>
    <x v="132"/>
    <x v="1"/>
    <x v="1"/>
    <x v="1"/>
    <x v="5"/>
    <n v="12"/>
    <n v="3120"/>
    <n v="690"/>
    <n v="2430"/>
    <n v="1190"/>
    <n v="4.9000000000000004"/>
    <n v="1240"/>
  </r>
  <r>
    <x v="133"/>
    <x v="8"/>
    <x v="8"/>
    <x v="0"/>
    <x v="15"/>
    <n v="17"/>
    <n v="3897"/>
    <n v="740"/>
    <n v="3157"/>
    <n v="1130"/>
    <n v="4.4000000000000004"/>
    <n v="2027"/>
  </r>
  <r>
    <x v="134"/>
    <x v="3"/>
    <x v="3"/>
    <x v="0"/>
    <x v="10"/>
    <n v="17"/>
    <n v="4563"/>
    <n v="1000"/>
    <n v="3563"/>
    <n v="1260"/>
    <n v="4.7"/>
    <n v="2303"/>
  </r>
  <r>
    <x v="135"/>
    <x v="10"/>
    <x v="10"/>
    <x v="1"/>
    <x v="4"/>
    <n v="25"/>
    <n v="6457"/>
    <n v="1160"/>
    <n v="5297"/>
    <n v="1650"/>
    <n v="4.5"/>
    <n v="3647"/>
  </r>
  <r>
    <x v="136"/>
    <x v="5"/>
    <x v="5"/>
    <x v="2"/>
    <x v="14"/>
    <n v="21"/>
    <n v="4643"/>
    <n v="1020"/>
    <n v="3623"/>
    <n v="1460"/>
    <n v="4.5"/>
    <n v="2163"/>
  </r>
  <r>
    <x v="137"/>
    <x v="0"/>
    <x v="0"/>
    <x v="2"/>
    <x v="9"/>
    <n v="22"/>
    <n v="4718"/>
    <n v="900"/>
    <n v="3818"/>
    <n v="1450"/>
    <n v="4.7"/>
    <n v="2368"/>
  </r>
  <r>
    <x v="138"/>
    <x v="7"/>
    <x v="7"/>
    <x v="1"/>
    <x v="3"/>
    <n v="21"/>
    <n v="4878"/>
    <n v="980"/>
    <n v="3898"/>
    <n v="1270"/>
    <n v="4.8"/>
    <n v="2628"/>
  </r>
  <r>
    <x v="139"/>
    <x v="2"/>
    <x v="2"/>
    <x v="0"/>
    <x v="13"/>
    <n v="10"/>
    <n v="2323"/>
    <n v="460"/>
    <n v="1863"/>
    <n v="1020"/>
    <n v="4.8"/>
    <n v="843"/>
  </r>
  <r>
    <x v="140"/>
    <x v="9"/>
    <x v="9"/>
    <x v="0"/>
    <x v="8"/>
    <n v="16"/>
    <n v="4301"/>
    <n v="770"/>
    <n v="3531"/>
    <n v="1310"/>
    <n v="4.4000000000000004"/>
    <n v="2221"/>
  </r>
  <r>
    <x v="141"/>
    <x v="4"/>
    <x v="4"/>
    <x v="1"/>
    <x v="2"/>
    <n v="24"/>
    <n v="6386"/>
    <n v="1210"/>
    <n v="5176"/>
    <n v="1450"/>
    <n v="4.9000000000000004"/>
    <n v="3726"/>
  </r>
  <r>
    <x v="142"/>
    <x v="11"/>
    <x v="11"/>
    <x v="1"/>
    <x v="12"/>
    <n v="20"/>
    <n v="4310"/>
    <n v="860"/>
    <n v="3450"/>
    <n v="1480"/>
    <n v="4.7"/>
    <n v="1970"/>
  </r>
  <r>
    <x v="143"/>
    <x v="6"/>
    <x v="6"/>
    <x v="3"/>
    <x v="7"/>
    <n v="21"/>
    <n v="4816"/>
    <n v="960"/>
    <n v="3856"/>
    <n v="1300"/>
    <n v="4.4000000000000004"/>
    <n v="2556"/>
  </r>
  <r>
    <x v="144"/>
    <x v="1"/>
    <x v="1"/>
    <x v="0"/>
    <x v="1"/>
    <n v="19"/>
    <n v="4068"/>
    <n v="810"/>
    <n v="3258"/>
    <n v="1320"/>
    <n v="4.9000000000000004"/>
    <n v="1938"/>
  </r>
  <r>
    <x v="145"/>
    <x v="8"/>
    <x v="8"/>
    <x v="2"/>
    <x v="2"/>
    <n v="13"/>
    <n v="3370"/>
    <n v="610"/>
    <n v="2760"/>
    <n v="1110"/>
    <n v="4.8"/>
    <n v="1650"/>
  </r>
  <r>
    <x v="146"/>
    <x v="3"/>
    <x v="3"/>
    <x v="2"/>
    <x v="6"/>
    <n v="17"/>
    <n v="3671"/>
    <n v="660"/>
    <n v="3011"/>
    <n v="1340"/>
    <n v="4.8"/>
    <n v="1671"/>
  </r>
  <r>
    <x v="147"/>
    <x v="10"/>
    <x v="10"/>
    <x v="0"/>
    <x v="0"/>
    <n v="17"/>
    <n v="3899"/>
    <n v="820"/>
    <n v="3079"/>
    <n v="1320"/>
    <n v="4.4000000000000004"/>
    <n v="1759"/>
  </r>
  <r>
    <x v="148"/>
    <x v="5"/>
    <x v="5"/>
    <x v="1"/>
    <x v="11"/>
    <n v="17"/>
    <n v="4864"/>
    <n v="970"/>
    <n v="3894"/>
    <n v="1280"/>
    <n v="4.5999999999999996"/>
    <n v="2614"/>
  </r>
  <r>
    <x v="149"/>
    <x v="0"/>
    <x v="0"/>
    <x v="1"/>
    <x v="5"/>
    <n v="15"/>
    <n v="3561"/>
    <n v="710"/>
    <n v="2851"/>
    <n v="1140"/>
    <n v="4.5999999999999996"/>
    <n v="1711"/>
  </r>
  <r>
    <x v="120"/>
    <x v="7"/>
    <x v="7"/>
    <x v="0"/>
    <x v="15"/>
    <n v="16"/>
    <n v="4330"/>
    <n v="950"/>
    <n v="3380"/>
    <n v="1180"/>
    <n v="4.5999999999999996"/>
    <n v="2200"/>
  </r>
  <r>
    <x v="121"/>
    <x v="2"/>
    <x v="2"/>
    <x v="0"/>
    <x v="10"/>
    <n v="15"/>
    <n v="3773"/>
    <n v="750"/>
    <n v="3023"/>
    <n v="1120"/>
    <n v="4.3"/>
    <n v="1903"/>
  </r>
  <r>
    <x v="122"/>
    <x v="9"/>
    <x v="9"/>
    <x v="1"/>
    <x v="4"/>
    <n v="17"/>
    <n v="3572"/>
    <n v="680"/>
    <n v="2892"/>
    <n v="1400"/>
    <n v="4.8"/>
    <n v="1492"/>
  </r>
  <r>
    <x v="123"/>
    <x v="4"/>
    <x v="4"/>
    <x v="2"/>
    <x v="14"/>
    <n v="13"/>
    <n v="3689"/>
    <n v="700"/>
    <n v="2989"/>
    <n v="1300"/>
    <n v="4.7"/>
    <n v="1689"/>
  </r>
  <r>
    <x v="124"/>
    <x v="11"/>
    <x v="11"/>
    <x v="2"/>
    <x v="9"/>
    <n v="23"/>
    <n v="4888"/>
    <n v="1030"/>
    <n v="3858"/>
    <n v="1550"/>
    <n v="4.4000000000000004"/>
    <n v="2308"/>
  </r>
  <r>
    <x v="125"/>
    <x v="6"/>
    <x v="6"/>
    <x v="1"/>
    <x v="3"/>
    <n v="28"/>
    <n v="6457"/>
    <n v="1290"/>
    <n v="5167"/>
    <n v="1550"/>
    <n v="4.7"/>
    <n v="3617"/>
  </r>
  <r>
    <x v="126"/>
    <x v="1"/>
    <x v="1"/>
    <x v="0"/>
    <x v="13"/>
    <n v="19"/>
    <n v="4361"/>
    <n v="830"/>
    <n v="3531"/>
    <n v="1250"/>
    <n v="4.5"/>
    <n v="2281"/>
  </r>
  <r>
    <x v="127"/>
    <x v="8"/>
    <x v="8"/>
    <x v="0"/>
    <x v="8"/>
    <n v="25"/>
    <n v="5896"/>
    <n v="1300"/>
    <n v="4596"/>
    <n v="1790"/>
    <n v="4.8"/>
    <n v="2806"/>
  </r>
  <r>
    <x v="128"/>
    <x v="3"/>
    <x v="3"/>
    <x v="1"/>
    <x v="2"/>
    <n v="13"/>
    <n v="3294"/>
    <n v="660"/>
    <n v="2634"/>
    <n v="1140"/>
    <n v="4.9000000000000004"/>
    <n v="1494"/>
  </r>
  <r>
    <x v="129"/>
    <x v="10"/>
    <x v="10"/>
    <x v="1"/>
    <x v="12"/>
    <n v="11"/>
    <n v="2995"/>
    <n v="540"/>
    <n v="2455"/>
    <n v="1140"/>
    <n v="4.7"/>
    <n v="1315"/>
  </r>
  <r>
    <x v="130"/>
    <x v="5"/>
    <x v="5"/>
    <x v="3"/>
    <x v="7"/>
    <n v="25"/>
    <n v="6092"/>
    <n v="1100"/>
    <n v="4992"/>
    <n v="1680"/>
    <n v="4.4000000000000004"/>
    <n v="3312"/>
  </r>
  <r>
    <x v="131"/>
    <x v="0"/>
    <x v="0"/>
    <x v="0"/>
    <x v="1"/>
    <n v="20"/>
    <n v="4718"/>
    <n v="990"/>
    <n v="3728"/>
    <n v="1380"/>
    <n v="4.3"/>
    <n v="2348"/>
  </r>
  <r>
    <x v="132"/>
    <x v="7"/>
    <x v="7"/>
    <x v="2"/>
    <x v="2"/>
    <n v="12"/>
    <n v="3081"/>
    <n v="550"/>
    <n v="2531"/>
    <n v="1200"/>
    <n v="4.8"/>
    <n v="1331"/>
  </r>
  <r>
    <x v="133"/>
    <x v="2"/>
    <x v="2"/>
    <x v="2"/>
    <x v="6"/>
    <n v="26"/>
    <n v="6262"/>
    <n v="1190"/>
    <n v="5072"/>
    <n v="1620"/>
    <n v="4.7"/>
    <n v="3452"/>
  </r>
  <r>
    <x v="134"/>
    <x v="9"/>
    <x v="9"/>
    <x v="0"/>
    <x v="0"/>
    <n v="23"/>
    <n v="5341"/>
    <n v="960"/>
    <n v="4381"/>
    <n v="1440"/>
    <n v="4.4000000000000004"/>
    <n v="2941"/>
  </r>
  <r>
    <x v="135"/>
    <x v="4"/>
    <x v="4"/>
    <x v="1"/>
    <x v="11"/>
    <n v="14"/>
    <n v="3029"/>
    <n v="610"/>
    <n v="2419"/>
    <n v="1180"/>
    <n v="4.4000000000000004"/>
    <n v="1239"/>
  </r>
  <r>
    <x v="136"/>
    <x v="11"/>
    <x v="11"/>
    <x v="1"/>
    <x v="5"/>
    <n v="21"/>
    <n v="5591"/>
    <n v="1010"/>
    <n v="4581"/>
    <n v="1280"/>
    <n v="4.9000000000000004"/>
    <n v="3301"/>
  </r>
  <r>
    <x v="137"/>
    <x v="6"/>
    <x v="6"/>
    <x v="0"/>
    <x v="15"/>
    <n v="23"/>
    <n v="5500"/>
    <n v="990"/>
    <n v="4510"/>
    <n v="1530"/>
    <n v="4.4000000000000004"/>
    <n v="2980"/>
  </r>
  <r>
    <x v="138"/>
    <x v="1"/>
    <x v="1"/>
    <x v="0"/>
    <x v="10"/>
    <n v="17"/>
    <n v="4355"/>
    <n v="830"/>
    <n v="3525"/>
    <n v="1220"/>
    <n v="4.4000000000000004"/>
    <n v="2305"/>
  </r>
  <r>
    <x v="139"/>
    <x v="8"/>
    <x v="8"/>
    <x v="1"/>
    <x v="4"/>
    <n v="18"/>
    <n v="4355"/>
    <n v="780"/>
    <n v="3575"/>
    <n v="1350"/>
    <n v="4.7"/>
    <n v="2225"/>
  </r>
  <r>
    <x v="140"/>
    <x v="3"/>
    <x v="3"/>
    <x v="2"/>
    <x v="14"/>
    <n v="22"/>
    <n v="5428"/>
    <n v="1090"/>
    <n v="4338"/>
    <n v="1350"/>
    <n v="4.4000000000000004"/>
    <n v="2988"/>
  </r>
  <r>
    <x v="141"/>
    <x v="10"/>
    <x v="10"/>
    <x v="2"/>
    <x v="9"/>
    <n v="19"/>
    <n v="4844"/>
    <n v="1020"/>
    <n v="3824"/>
    <n v="1290"/>
    <n v="4.5"/>
    <n v="2534"/>
  </r>
  <r>
    <x v="142"/>
    <x v="5"/>
    <x v="5"/>
    <x v="1"/>
    <x v="3"/>
    <n v="15"/>
    <n v="3263"/>
    <n v="720"/>
    <n v="2543"/>
    <n v="1190"/>
    <n v="4.9000000000000004"/>
    <n v="1353"/>
  </r>
  <r>
    <x v="143"/>
    <x v="0"/>
    <x v="0"/>
    <x v="0"/>
    <x v="13"/>
    <n v="12"/>
    <n v="3295"/>
    <n v="590"/>
    <n v="2705"/>
    <n v="1140"/>
    <n v="4.3"/>
    <n v="1565"/>
  </r>
  <r>
    <x v="144"/>
    <x v="7"/>
    <x v="7"/>
    <x v="0"/>
    <x v="8"/>
    <n v="11"/>
    <n v="3084"/>
    <n v="560"/>
    <n v="2524"/>
    <n v="1170"/>
    <n v="4.5"/>
    <n v="1354"/>
  </r>
  <r>
    <x v="145"/>
    <x v="2"/>
    <x v="2"/>
    <x v="1"/>
    <x v="2"/>
    <n v="18"/>
    <n v="4437"/>
    <n v="890"/>
    <n v="3547"/>
    <n v="1280"/>
    <n v="4.4000000000000004"/>
    <n v="2267"/>
  </r>
  <r>
    <x v="146"/>
    <x v="9"/>
    <x v="9"/>
    <x v="1"/>
    <x v="12"/>
    <n v="22"/>
    <n v="5619"/>
    <n v="1240"/>
    <n v="4379"/>
    <n v="1510"/>
    <n v="4.4000000000000004"/>
    <n v="2869"/>
  </r>
  <r>
    <x v="147"/>
    <x v="4"/>
    <x v="4"/>
    <x v="3"/>
    <x v="7"/>
    <n v="10"/>
    <n v="2495"/>
    <n v="500"/>
    <n v="1995"/>
    <n v="950"/>
    <n v="4.5"/>
    <n v="1045"/>
  </r>
  <r>
    <x v="148"/>
    <x v="11"/>
    <x v="11"/>
    <x v="0"/>
    <x v="1"/>
    <n v="18"/>
    <n v="3805"/>
    <n v="680"/>
    <n v="3125"/>
    <n v="1480"/>
    <n v="4.5999999999999996"/>
    <n v="1645"/>
  </r>
  <r>
    <x v="149"/>
    <x v="6"/>
    <x v="6"/>
    <x v="2"/>
    <x v="2"/>
    <n v="27"/>
    <n v="7287"/>
    <n v="1380"/>
    <n v="5907"/>
    <n v="1420"/>
    <n v="4.4000000000000004"/>
    <n v="4487"/>
  </r>
  <r>
    <x v="120"/>
    <x v="1"/>
    <x v="1"/>
    <x v="2"/>
    <x v="6"/>
    <n v="10"/>
    <n v="2346"/>
    <n v="450"/>
    <n v="1896"/>
    <n v="1070"/>
    <n v="4.8"/>
    <n v="826"/>
  </r>
  <r>
    <x v="121"/>
    <x v="8"/>
    <x v="8"/>
    <x v="0"/>
    <x v="0"/>
    <n v="28"/>
    <n v="7294"/>
    <n v="1310"/>
    <n v="5984"/>
    <n v="1560"/>
    <n v="4.9000000000000004"/>
    <n v="4424"/>
  </r>
  <r>
    <x v="122"/>
    <x v="3"/>
    <x v="3"/>
    <x v="1"/>
    <x v="11"/>
    <n v="13"/>
    <n v="3112"/>
    <n v="620"/>
    <n v="2492"/>
    <n v="1180"/>
    <n v="4.5999999999999996"/>
    <n v="1312"/>
  </r>
  <r>
    <x v="123"/>
    <x v="10"/>
    <x v="10"/>
    <x v="1"/>
    <x v="5"/>
    <n v="19"/>
    <n v="4410"/>
    <n v="840"/>
    <n v="3570"/>
    <n v="1450"/>
    <n v="4.5999999999999996"/>
    <n v="2120"/>
  </r>
  <r>
    <x v="124"/>
    <x v="5"/>
    <x v="5"/>
    <x v="0"/>
    <x v="15"/>
    <n v="26"/>
    <n v="6647"/>
    <n v="1260"/>
    <n v="5387"/>
    <n v="1640"/>
    <n v="4.3"/>
    <n v="3747"/>
  </r>
  <r>
    <x v="125"/>
    <x v="0"/>
    <x v="0"/>
    <x v="0"/>
    <x v="10"/>
    <n v="13"/>
    <n v="3299"/>
    <n v="630"/>
    <n v="2669"/>
    <n v="1160"/>
    <n v="4.8"/>
    <n v="1509"/>
  </r>
  <r>
    <x v="126"/>
    <x v="7"/>
    <x v="7"/>
    <x v="1"/>
    <x v="4"/>
    <n v="24"/>
    <n v="6402"/>
    <n v="1150"/>
    <n v="5252"/>
    <n v="1680"/>
    <n v="4.7"/>
    <n v="3572"/>
  </r>
  <r>
    <x v="127"/>
    <x v="2"/>
    <x v="2"/>
    <x v="2"/>
    <x v="14"/>
    <n v="21"/>
    <n v="5434"/>
    <n v="1090"/>
    <n v="4344"/>
    <n v="1260"/>
    <n v="4.3"/>
    <n v="3084"/>
  </r>
  <r>
    <x v="128"/>
    <x v="9"/>
    <x v="9"/>
    <x v="2"/>
    <x v="9"/>
    <n v="17"/>
    <n v="4616"/>
    <n v="880"/>
    <n v="3736"/>
    <n v="1260"/>
    <n v="4.4000000000000004"/>
    <n v="2476"/>
  </r>
  <r>
    <x v="129"/>
    <x v="4"/>
    <x v="4"/>
    <x v="1"/>
    <x v="3"/>
    <n v="24"/>
    <n v="5553"/>
    <n v="1220"/>
    <n v="4333"/>
    <n v="1330"/>
    <n v="4.5"/>
    <n v="3003"/>
  </r>
  <r>
    <x v="130"/>
    <x v="11"/>
    <x v="11"/>
    <x v="0"/>
    <x v="13"/>
    <n v="17"/>
    <n v="4695"/>
    <n v="1030"/>
    <n v="3665"/>
    <n v="1250"/>
    <n v="4.7"/>
    <n v="2415"/>
  </r>
  <r>
    <x v="131"/>
    <x v="6"/>
    <x v="6"/>
    <x v="0"/>
    <x v="8"/>
    <n v="28"/>
    <n v="7380"/>
    <n v="1480"/>
    <n v="5900"/>
    <n v="1640"/>
    <n v="4.3"/>
    <n v="4260"/>
  </r>
  <r>
    <x v="132"/>
    <x v="1"/>
    <x v="1"/>
    <x v="1"/>
    <x v="2"/>
    <n v="15"/>
    <n v="3138"/>
    <n v="690"/>
    <n v="2448"/>
    <n v="1080"/>
    <n v="4.5999999999999996"/>
    <n v="1368"/>
  </r>
  <r>
    <x v="133"/>
    <x v="8"/>
    <x v="8"/>
    <x v="1"/>
    <x v="12"/>
    <n v="14"/>
    <n v="3932"/>
    <n v="870"/>
    <n v="3062"/>
    <n v="1120"/>
    <n v="4.4000000000000004"/>
    <n v="1942"/>
  </r>
  <r>
    <x v="134"/>
    <x v="3"/>
    <x v="3"/>
    <x v="3"/>
    <x v="7"/>
    <n v="10"/>
    <n v="2391"/>
    <n v="480"/>
    <n v="1911"/>
    <n v="1000"/>
    <n v="4.8"/>
    <n v="911"/>
  </r>
  <r>
    <x v="135"/>
    <x v="10"/>
    <x v="10"/>
    <x v="0"/>
    <x v="1"/>
    <n v="22"/>
    <n v="4738"/>
    <n v="990"/>
    <n v="3748"/>
    <n v="1420"/>
    <n v="4.5999999999999996"/>
    <n v="2328"/>
  </r>
  <r>
    <x v="136"/>
    <x v="5"/>
    <x v="5"/>
    <x v="2"/>
    <x v="2"/>
    <n v="19"/>
    <n v="4009"/>
    <n v="720"/>
    <n v="3289"/>
    <n v="1550"/>
    <n v="4.7"/>
    <n v="1739"/>
  </r>
  <r>
    <x v="137"/>
    <x v="0"/>
    <x v="0"/>
    <x v="2"/>
    <x v="6"/>
    <n v="27"/>
    <n v="7648"/>
    <n v="1610"/>
    <n v="6038"/>
    <n v="1690"/>
    <n v="4.4000000000000004"/>
    <n v="4348"/>
  </r>
  <r>
    <x v="138"/>
    <x v="7"/>
    <x v="7"/>
    <x v="0"/>
    <x v="0"/>
    <n v="28"/>
    <n v="6408"/>
    <n v="1350"/>
    <n v="5058"/>
    <n v="1630"/>
    <n v="4.5999999999999996"/>
    <n v="3428"/>
  </r>
  <r>
    <x v="139"/>
    <x v="2"/>
    <x v="2"/>
    <x v="1"/>
    <x v="11"/>
    <n v="15"/>
    <n v="4272"/>
    <n v="940"/>
    <n v="3332"/>
    <n v="1100"/>
    <n v="4.5"/>
    <n v="2232"/>
  </r>
  <r>
    <x v="140"/>
    <x v="9"/>
    <x v="9"/>
    <x v="1"/>
    <x v="5"/>
    <n v="26"/>
    <n v="6373"/>
    <n v="1400"/>
    <n v="4973"/>
    <n v="1440"/>
    <n v="4.5"/>
    <n v="3533"/>
  </r>
  <r>
    <x v="141"/>
    <x v="4"/>
    <x v="4"/>
    <x v="0"/>
    <x v="15"/>
    <n v="17"/>
    <n v="4147"/>
    <n v="750"/>
    <n v="3397"/>
    <n v="1340"/>
    <n v="4.5999999999999996"/>
    <n v="2057"/>
  </r>
  <r>
    <x v="142"/>
    <x v="11"/>
    <x v="11"/>
    <x v="0"/>
    <x v="10"/>
    <n v="21"/>
    <n v="5687"/>
    <n v="1140"/>
    <n v="4547"/>
    <n v="1320"/>
    <n v="4.7"/>
    <n v="3227"/>
  </r>
  <r>
    <x v="143"/>
    <x v="6"/>
    <x v="6"/>
    <x v="1"/>
    <x v="4"/>
    <n v="23"/>
    <n v="6301"/>
    <n v="1130"/>
    <n v="5171"/>
    <n v="1630"/>
    <n v="4.8"/>
    <n v="3541"/>
  </r>
  <r>
    <x v="144"/>
    <x v="1"/>
    <x v="1"/>
    <x v="2"/>
    <x v="14"/>
    <n v="11"/>
    <n v="2373"/>
    <n v="430"/>
    <n v="1943"/>
    <n v="1150"/>
    <n v="4.7"/>
    <n v="793"/>
  </r>
  <r>
    <x v="145"/>
    <x v="8"/>
    <x v="8"/>
    <x v="2"/>
    <x v="9"/>
    <n v="19"/>
    <n v="5359"/>
    <n v="1130"/>
    <n v="4229"/>
    <n v="1210"/>
    <n v="4.4000000000000004"/>
    <n v="3019"/>
  </r>
  <r>
    <x v="146"/>
    <x v="3"/>
    <x v="3"/>
    <x v="1"/>
    <x v="3"/>
    <n v="17"/>
    <n v="3706"/>
    <n v="780"/>
    <n v="2926"/>
    <n v="1120"/>
    <n v="4.5999999999999996"/>
    <n v="1806"/>
  </r>
  <r>
    <x v="147"/>
    <x v="10"/>
    <x v="10"/>
    <x v="0"/>
    <x v="13"/>
    <n v="27"/>
    <n v="6207"/>
    <n v="1240"/>
    <n v="4967"/>
    <n v="1610"/>
    <n v="4.4000000000000004"/>
    <n v="3357"/>
  </r>
  <r>
    <x v="148"/>
    <x v="5"/>
    <x v="5"/>
    <x v="0"/>
    <x v="8"/>
    <n v="11"/>
    <n v="3053"/>
    <n v="670"/>
    <n v="2383"/>
    <n v="1190"/>
    <n v="4.8"/>
    <n v="1193"/>
  </r>
  <r>
    <x v="149"/>
    <x v="0"/>
    <x v="0"/>
    <x v="1"/>
    <x v="2"/>
    <n v="24"/>
    <n v="6577"/>
    <n v="1450"/>
    <n v="5127"/>
    <n v="1570"/>
    <n v="4.8"/>
    <n v="3557"/>
  </r>
  <r>
    <x v="120"/>
    <x v="7"/>
    <x v="7"/>
    <x v="1"/>
    <x v="12"/>
    <n v="20"/>
    <n v="4366"/>
    <n v="830"/>
    <n v="3536"/>
    <n v="1460"/>
    <n v="4.9000000000000004"/>
    <n v="2076"/>
  </r>
  <r>
    <x v="121"/>
    <x v="2"/>
    <x v="2"/>
    <x v="3"/>
    <x v="7"/>
    <n v="16"/>
    <n v="4462"/>
    <n v="890"/>
    <n v="3572"/>
    <n v="1270"/>
    <n v="4.5"/>
    <n v="2302"/>
  </r>
  <r>
    <x v="122"/>
    <x v="9"/>
    <x v="9"/>
    <x v="0"/>
    <x v="1"/>
    <n v="22"/>
    <n v="5831"/>
    <n v="1170"/>
    <n v="4661"/>
    <n v="1370"/>
    <n v="4.4000000000000004"/>
    <n v="3291"/>
  </r>
  <r>
    <x v="123"/>
    <x v="4"/>
    <x v="4"/>
    <x v="2"/>
    <x v="2"/>
    <n v="28"/>
    <n v="6148"/>
    <n v="1170"/>
    <n v="4978"/>
    <n v="1750"/>
    <n v="4.5"/>
    <n v="3228"/>
  </r>
  <r>
    <x v="124"/>
    <x v="11"/>
    <x v="11"/>
    <x v="2"/>
    <x v="6"/>
    <n v="10"/>
    <n v="2467"/>
    <n v="490"/>
    <n v="1977"/>
    <n v="1100"/>
    <n v="4.5"/>
    <n v="877"/>
  </r>
  <r>
    <x v="125"/>
    <x v="6"/>
    <x v="6"/>
    <x v="0"/>
    <x v="0"/>
    <n v="19"/>
    <n v="5173"/>
    <n v="930"/>
    <n v="4243"/>
    <n v="1490"/>
    <n v="4.4000000000000004"/>
    <n v="2753"/>
  </r>
  <r>
    <x v="126"/>
    <x v="1"/>
    <x v="1"/>
    <x v="1"/>
    <x v="11"/>
    <n v="15"/>
    <n v="3041"/>
    <n v="640"/>
    <n v="2401"/>
    <n v="1180"/>
    <n v="4.8"/>
    <n v="1221"/>
  </r>
  <r>
    <x v="127"/>
    <x v="8"/>
    <x v="8"/>
    <x v="1"/>
    <x v="5"/>
    <n v="14"/>
    <n v="3487"/>
    <n v="630"/>
    <n v="2857"/>
    <n v="1250"/>
    <n v="4.5"/>
    <n v="1607"/>
  </r>
  <r>
    <x v="128"/>
    <x v="3"/>
    <x v="3"/>
    <x v="0"/>
    <x v="15"/>
    <n v="13"/>
    <n v="3352"/>
    <n v="740"/>
    <n v="2612"/>
    <n v="1270"/>
    <n v="4.5999999999999996"/>
    <n v="1342"/>
  </r>
  <r>
    <x v="129"/>
    <x v="10"/>
    <x v="10"/>
    <x v="0"/>
    <x v="10"/>
    <n v="23"/>
    <n v="6374"/>
    <n v="1210"/>
    <n v="5164"/>
    <n v="1350"/>
    <n v="4.4000000000000004"/>
    <n v="38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48CA1-E1A3-49E5-A4C1-AFC3561A07A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0" firstHeaderRow="0" firstDataRow="1" firstDataCol="1"/>
  <pivotFields count="14">
    <pivotField axis="axisRow"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13">
        <item x="3"/>
        <item x="8"/>
        <item h="1" x="1"/>
        <item x="6"/>
        <item h="1" x="11"/>
        <item x="4"/>
        <item h="1" x="9"/>
        <item h="1" x="2"/>
        <item x="7"/>
        <item x="0"/>
        <item x="5"/>
        <item x="10"/>
        <item t="default"/>
      </items>
    </pivotField>
    <pivotField showAll="0">
      <items count="13">
        <item x="3"/>
        <item x="2"/>
        <item x="9"/>
        <item x="6"/>
        <item x="10"/>
        <item x="7"/>
        <item x="8"/>
        <item x="11"/>
        <item x="0"/>
        <item x="5"/>
        <item x="1"/>
        <item x="4"/>
        <item t="default"/>
      </items>
    </pivotField>
    <pivotField showAll="0">
      <items count="5">
        <item x="0"/>
        <item x="3"/>
        <item x="2"/>
        <item x="1"/>
        <item t="default"/>
      </items>
    </pivotField>
    <pivotField showAll="0">
      <items count="17">
        <item x="12"/>
        <item x="4"/>
        <item x="9"/>
        <item x="2"/>
        <item h="1" x="8"/>
        <item h="1" x="6"/>
        <item h="1" x="5"/>
        <item x="0"/>
        <item h="1" x="15"/>
        <item x="14"/>
        <item h="1" x="7"/>
        <item h="1" x="1"/>
        <item h="1" x="13"/>
        <item h="1" x="10"/>
        <item h="1" x="11"/>
        <item h="1" x="3"/>
        <item t="default"/>
      </items>
    </pivotField>
    <pivotField showAll="0"/>
    <pivotField showAll="0"/>
    <pivotField dataField="1"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3"/>
    <field x="12"/>
    <field x="0"/>
  </rowFields>
  <rowItems count="7">
    <i>
      <x v="4"/>
    </i>
    <i>
      <x v="5"/>
    </i>
    <i>
      <x v="6"/>
    </i>
    <i>
      <x v="7"/>
    </i>
    <i>
      <x v="8"/>
    </i>
    <i>
      <x v="9"/>
    </i>
    <i t="grand">
      <x/>
    </i>
  </rowItems>
  <colFields count="1">
    <field x="-2"/>
  </colFields>
  <colItems count="2">
    <i>
      <x/>
    </i>
    <i i="1">
      <x v="1"/>
    </i>
  </colItems>
  <dataFields count="2">
    <dataField name="Sum of Net Profit After " fld="11" baseField="0" baseItem="0"/>
    <dataField name="Sum of Rapido Fee"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No" xr10:uid="{B97D1C64-1C7F-4BAF-B726-FCB163F24CB1}" sourceName="Car No">
  <pivotTables>
    <pivotTable tabId="2" name="PivotTable1"/>
  </pivotTables>
  <data>
    <tabular pivotCacheId="1001106939">
      <items count="12">
        <i x="3" s="1"/>
        <i x="8" s="1"/>
        <i x="1"/>
        <i x="6" s="1"/>
        <i x="11"/>
        <i x="4" s="1"/>
        <i x="9"/>
        <i x="2"/>
        <i x="7" s="1"/>
        <i x="0"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4E11BF59-63EF-4E89-8141-9A98A3827842}" sourceName="Place">
  <pivotTables>
    <pivotTable tabId="2" name="PivotTable1"/>
  </pivotTables>
  <data>
    <tabular pivotCacheId="1001106939">
      <items count="16">
        <i x="12" s="1"/>
        <i x="4" s="1"/>
        <i x="9" s="1"/>
        <i x="2" s="1"/>
        <i x="8"/>
        <i x="6"/>
        <i x="5"/>
        <i x="0" s="1"/>
        <i x="15"/>
        <i x="14" s="1"/>
        <i x="7"/>
        <i x="1"/>
        <i x="13"/>
        <i x="10"/>
        <i x="1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 No" xr10:uid="{487493F1-D509-4514-B4F5-5E958BC9EF39}" cache="Slicer_Car_No" caption="Car No" columnCount="2" rowHeight="209550"/>
  <slicer name="Place" xr10:uid="{960BD3FF-8D42-4797-832A-8994CFF7FC41}" cache="Slicer_Place" caption="Place" columnCoun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9BCEA7-2953-43F4-A108-F232208DA5CD}" name="Table1" displayName="Table1" ref="A1:L601" totalsRowShown="0" headerRowDxfId="1" dataDxfId="2">
  <autoFilter ref="A1:L601" xr:uid="{E59BCEA7-2953-43F4-A108-F232208DA5CD}"/>
  <tableColumns count="12">
    <tableColumn id="1" xr3:uid="{52AF444D-2B9C-4B86-A306-FB82BA72868A}" name="Trip Date" dataDxfId="13"/>
    <tableColumn id="2" xr3:uid="{8C948005-4B10-477B-9F7C-FD918386ED27}" name="Car No" dataDxfId="12"/>
    <tableColumn id="3" xr3:uid="{68EAC012-0438-4698-9071-E7E62130AB7B}" name="Driver" dataDxfId="11"/>
    <tableColumn id="4" xr3:uid="{94B6B2E7-9D0D-4BF9-AD37-D27606100CC5}" name="City" dataDxfId="10"/>
    <tableColumn id="5" xr3:uid="{798D6D9C-D894-4FB0-87BC-080795931DBE}" name="Place" dataDxfId="9"/>
    <tableColumn id="6" xr3:uid="{D1488CBF-91D1-4D6F-96D2-A8BF7B248EF7}" name="Trips" dataDxfId="8"/>
    <tableColumn id="7" xr3:uid="{7EB90962-E29B-49B2-9A68-0F8F33B37C41}" name="Gross Fare" dataDxfId="7"/>
    <tableColumn id="8" xr3:uid="{23BAEBEE-E879-4FCF-B5D9-4481068CFACE}" name="Rapido Fee" dataDxfId="6"/>
    <tableColumn id="9" xr3:uid="{6278B48E-3E99-470C-A470-C93E099E0FBA}" name="Net Earnings" dataDxfId="5"/>
    <tableColumn id="10" xr3:uid="{F0CF02B5-DE4E-40D4-9EEF-5A44AC28CF4A}" name="Fuel Cost" dataDxfId="4"/>
    <tableColumn id="11" xr3:uid="{A3C79E5C-1F55-43BF-A590-B58FE2004905}" name="Rating" dataDxfId="3"/>
    <tableColumn id="12" xr3:uid="{4FFE0E17-ED9D-45DE-8E43-764206400172}" name="Net Profit After " dataDxfId="0">
      <calculatedColumnFormula>Table1[[#This Row],[Net Earnings]]-Table1[[#This Row],[Fuel Cost]]</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CAF1-632C-4FB4-939E-B0E0AC031F75}">
  <dimension ref="A3:C10"/>
  <sheetViews>
    <sheetView tabSelected="1" workbookViewId="0">
      <selection activeCell="N14" sqref="N14"/>
    </sheetView>
  </sheetViews>
  <sheetFormatPr defaultRowHeight="13.2" x14ac:dyDescent="0.25"/>
  <cols>
    <col min="1" max="1" width="13.33203125" bestFit="1" customWidth="1"/>
    <col min="2" max="2" width="21.6640625" bestFit="1" customWidth="1"/>
    <col min="3" max="3" width="17.6640625" bestFit="1" customWidth="1"/>
  </cols>
  <sheetData>
    <row r="3" spans="1:3" x14ac:dyDescent="0.25">
      <c r="A3" s="5" t="s">
        <v>53</v>
      </c>
      <c r="B3" t="s">
        <v>61</v>
      </c>
      <c r="C3" t="s">
        <v>62</v>
      </c>
    </row>
    <row r="4" spans="1:3" x14ac:dyDescent="0.25">
      <c r="A4" s="6" t="s">
        <v>55</v>
      </c>
      <c r="B4" s="7">
        <v>47479</v>
      </c>
      <c r="C4" s="7">
        <v>18090</v>
      </c>
    </row>
    <row r="5" spans="1:3" x14ac:dyDescent="0.25">
      <c r="A5" s="6" t="s">
        <v>56</v>
      </c>
      <c r="B5" s="7">
        <v>61058</v>
      </c>
      <c r="C5" s="7">
        <v>23410</v>
      </c>
    </row>
    <row r="6" spans="1:3" x14ac:dyDescent="0.25">
      <c r="A6" s="6" t="s">
        <v>57</v>
      </c>
      <c r="B6" s="7">
        <v>77458</v>
      </c>
      <c r="C6" s="7">
        <v>29120</v>
      </c>
    </row>
    <row r="7" spans="1:3" x14ac:dyDescent="0.25">
      <c r="A7" s="6" t="s">
        <v>58</v>
      </c>
      <c r="B7" s="7">
        <v>114771</v>
      </c>
      <c r="C7" s="7">
        <v>43180</v>
      </c>
    </row>
    <row r="8" spans="1:3" x14ac:dyDescent="0.25">
      <c r="A8" s="6" t="s">
        <v>59</v>
      </c>
      <c r="B8" s="7">
        <v>138184</v>
      </c>
      <c r="C8" s="7">
        <v>52940</v>
      </c>
    </row>
    <row r="9" spans="1:3" x14ac:dyDescent="0.25">
      <c r="A9" s="6" t="s">
        <v>60</v>
      </c>
      <c r="B9" s="7">
        <v>41005</v>
      </c>
      <c r="C9" s="7">
        <v>14080</v>
      </c>
    </row>
    <row r="10" spans="1:3" x14ac:dyDescent="0.25">
      <c r="A10" s="6" t="s">
        <v>54</v>
      </c>
      <c r="B10" s="7">
        <v>479955</v>
      </c>
      <c r="C10" s="7">
        <v>180820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2"/>
  <sheetViews>
    <sheetView topLeftCell="A2" workbookViewId="0">
      <selection activeCell="J3" sqref="A2:L601"/>
    </sheetView>
  </sheetViews>
  <sheetFormatPr defaultColWidth="12.6640625" defaultRowHeight="15.75" customHeight="1" x14ac:dyDescent="0.25"/>
  <cols>
    <col min="1" max="1" width="10.33203125" bestFit="1" customWidth="1"/>
    <col min="2" max="2" width="15.109375" customWidth="1"/>
    <col min="3" max="3" width="7.77734375" customWidth="1"/>
    <col min="4" max="4" width="7" customWidth="1"/>
    <col min="5" max="5" width="7.44140625" customWidth="1"/>
    <col min="6" max="6" width="7" customWidth="1"/>
    <col min="7" max="7" width="12" customWidth="1"/>
    <col min="8" max="8" width="12.21875" customWidth="1"/>
    <col min="9" max="9" width="13.33203125" customWidth="1"/>
    <col min="10" max="10" width="10.5546875" customWidth="1"/>
    <col min="11" max="11" width="8" customWidth="1"/>
    <col min="12" max="12" width="17" bestFit="1" customWidth="1"/>
    <col min="13" max="29" width="8.6640625" customWidth="1"/>
  </cols>
  <sheetData>
    <row r="1" spans="1:15" ht="14.25" customHeight="1" x14ac:dyDescent="0.25">
      <c r="A1" s="3" t="s">
        <v>0</v>
      </c>
      <c r="B1" s="1" t="s">
        <v>1</v>
      </c>
      <c r="C1" s="1" t="s">
        <v>2</v>
      </c>
      <c r="D1" s="2" t="s">
        <v>8</v>
      </c>
      <c r="E1" s="2" t="s">
        <v>9</v>
      </c>
      <c r="F1" s="2" t="s">
        <v>10</v>
      </c>
      <c r="G1" s="1" t="s">
        <v>3</v>
      </c>
      <c r="H1" s="1" t="s">
        <v>4</v>
      </c>
      <c r="I1" s="1" t="s">
        <v>5</v>
      </c>
      <c r="J1" s="1" t="s">
        <v>6</v>
      </c>
      <c r="K1" s="1" t="s">
        <v>7</v>
      </c>
      <c r="L1" s="4" t="s">
        <v>52</v>
      </c>
      <c r="M1" s="2"/>
      <c r="N1" s="2"/>
      <c r="O1" s="2"/>
    </row>
    <row r="2" spans="1:15" ht="14.25" customHeight="1" x14ac:dyDescent="0.25">
      <c r="A2" s="3">
        <v>46125</v>
      </c>
      <c r="B2" s="1" t="s">
        <v>11</v>
      </c>
      <c r="C2" s="1" t="s">
        <v>12</v>
      </c>
      <c r="D2" s="1" t="s">
        <v>13</v>
      </c>
      <c r="E2" s="1" t="s">
        <v>14</v>
      </c>
      <c r="F2" s="1">
        <v>15</v>
      </c>
      <c r="G2" s="1">
        <v>3273</v>
      </c>
      <c r="H2" s="1">
        <v>690</v>
      </c>
      <c r="I2" s="1">
        <v>2583</v>
      </c>
      <c r="J2" s="1">
        <v>1200</v>
      </c>
      <c r="K2" s="1">
        <v>4.8</v>
      </c>
      <c r="L2" s="1">
        <f>Table1[[#This Row],[Net Earnings]]-Table1[[#This Row],[Fuel Cost]]</f>
        <v>1383</v>
      </c>
      <c r="M2" s="1"/>
    </row>
    <row r="3" spans="1:15" ht="14.25" customHeight="1" x14ac:dyDescent="0.25">
      <c r="A3" s="3">
        <v>46126</v>
      </c>
      <c r="B3" s="1" t="s">
        <v>15</v>
      </c>
      <c r="C3" s="1" t="s">
        <v>16</v>
      </c>
      <c r="D3" s="1" t="s">
        <v>13</v>
      </c>
      <c r="E3" s="1" t="s">
        <v>17</v>
      </c>
      <c r="F3" s="1">
        <v>18</v>
      </c>
      <c r="G3" s="1">
        <v>3592</v>
      </c>
      <c r="H3" s="1">
        <v>720</v>
      </c>
      <c r="I3" s="1">
        <v>2872</v>
      </c>
      <c r="J3" s="1">
        <v>1140</v>
      </c>
      <c r="K3" s="1">
        <v>4.3</v>
      </c>
      <c r="L3" s="4">
        <f>Table1[[#This Row],[Net Earnings]]-Table1[[#This Row],[Fuel Cost]]</f>
        <v>1732</v>
      </c>
    </row>
    <row r="4" spans="1:15" ht="14.25" customHeight="1" x14ac:dyDescent="0.25">
      <c r="A4" s="3">
        <v>46127</v>
      </c>
      <c r="B4" s="1" t="s">
        <v>18</v>
      </c>
      <c r="C4" s="1" t="s">
        <v>19</v>
      </c>
      <c r="D4" s="1" t="s">
        <v>20</v>
      </c>
      <c r="E4" s="1" t="s">
        <v>13</v>
      </c>
      <c r="F4" s="1">
        <v>15</v>
      </c>
      <c r="G4" s="1">
        <v>3987</v>
      </c>
      <c r="H4" s="1">
        <v>880</v>
      </c>
      <c r="I4" s="1">
        <v>3107</v>
      </c>
      <c r="J4" s="1">
        <v>1210</v>
      </c>
      <c r="K4" s="1">
        <v>4.4000000000000004</v>
      </c>
      <c r="L4" s="4">
        <f>Table1[[#This Row],[Net Earnings]]-Table1[[#This Row],[Fuel Cost]]</f>
        <v>1897</v>
      </c>
      <c r="N4" s="1"/>
    </row>
    <row r="5" spans="1:15" ht="14.25" customHeight="1" x14ac:dyDescent="0.25">
      <c r="A5" s="3">
        <v>46128</v>
      </c>
      <c r="B5" s="1" t="s">
        <v>21</v>
      </c>
      <c r="C5" s="1" t="s">
        <v>22</v>
      </c>
      <c r="D5" s="1" t="s">
        <v>20</v>
      </c>
      <c r="E5" s="1" t="s">
        <v>23</v>
      </c>
      <c r="F5" s="1">
        <v>21</v>
      </c>
      <c r="G5" s="1">
        <v>5382</v>
      </c>
      <c r="H5" s="1">
        <v>1080</v>
      </c>
      <c r="I5" s="1">
        <v>4302</v>
      </c>
      <c r="J5" s="1">
        <v>1240</v>
      </c>
      <c r="K5" s="1">
        <v>4.4000000000000004</v>
      </c>
      <c r="L5" s="4">
        <f>Table1[[#This Row],[Net Earnings]]-Table1[[#This Row],[Fuel Cost]]</f>
        <v>3062</v>
      </c>
    </row>
    <row r="6" spans="1:15" ht="14.25" customHeight="1" x14ac:dyDescent="0.25">
      <c r="A6" s="3">
        <v>46129</v>
      </c>
      <c r="B6" s="1" t="s">
        <v>24</v>
      </c>
      <c r="C6" s="1" t="s">
        <v>25</v>
      </c>
      <c r="D6" s="1" t="s">
        <v>20</v>
      </c>
      <c r="E6" s="1" t="s">
        <v>26</v>
      </c>
      <c r="F6" s="1">
        <v>27</v>
      </c>
      <c r="G6" s="1">
        <v>6903</v>
      </c>
      <c r="H6" s="1">
        <v>1240</v>
      </c>
      <c r="I6" s="1">
        <v>5663</v>
      </c>
      <c r="J6" s="1">
        <v>1440</v>
      </c>
      <c r="K6" s="1">
        <v>4.5999999999999996</v>
      </c>
      <c r="L6" s="4">
        <f>Table1[[#This Row],[Net Earnings]]-Table1[[#This Row],[Fuel Cost]]</f>
        <v>4223</v>
      </c>
    </row>
    <row r="7" spans="1:15" ht="14.25" customHeight="1" x14ac:dyDescent="0.25">
      <c r="A7" s="3">
        <v>46130</v>
      </c>
      <c r="B7" s="1" t="s">
        <v>27</v>
      </c>
      <c r="C7" s="1" t="s">
        <v>28</v>
      </c>
      <c r="D7" s="1" t="s">
        <v>20</v>
      </c>
      <c r="E7" s="1" t="s">
        <v>29</v>
      </c>
      <c r="F7" s="1">
        <v>20</v>
      </c>
      <c r="G7" s="1">
        <v>4695</v>
      </c>
      <c r="H7" s="1">
        <v>1030</v>
      </c>
      <c r="I7" s="1">
        <v>3665</v>
      </c>
      <c r="J7" s="1">
        <v>1290</v>
      </c>
      <c r="K7" s="1">
        <v>4.5999999999999996</v>
      </c>
      <c r="L7" s="4">
        <f>Table1[[#This Row],[Net Earnings]]-Table1[[#This Row],[Fuel Cost]]</f>
        <v>2375</v>
      </c>
    </row>
    <row r="8" spans="1:15" ht="14.25" customHeight="1" x14ac:dyDescent="0.25">
      <c r="A8" s="3">
        <v>46131</v>
      </c>
      <c r="B8" s="1" t="s">
        <v>30</v>
      </c>
      <c r="C8" s="1" t="s">
        <v>31</v>
      </c>
      <c r="D8" s="1" t="s">
        <v>14</v>
      </c>
      <c r="E8" s="1" t="s">
        <v>32</v>
      </c>
      <c r="F8" s="1">
        <v>20</v>
      </c>
      <c r="G8" s="1">
        <v>4055</v>
      </c>
      <c r="H8" s="1">
        <v>890</v>
      </c>
      <c r="I8" s="1">
        <v>3165</v>
      </c>
      <c r="J8" s="1">
        <v>1440</v>
      </c>
      <c r="K8" s="1">
        <v>4.7</v>
      </c>
      <c r="L8" s="4">
        <f>Table1[[#This Row],[Net Earnings]]-Table1[[#This Row],[Fuel Cost]]</f>
        <v>1725</v>
      </c>
    </row>
    <row r="9" spans="1:15" ht="14.25" customHeight="1" x14ac:dyDescent="0.25">
      <c r="A9" s="3">
        <v>46132</v>
      </c>
      <c r="B9" s="1" t="s">
        <v>33</v>
      </c>
      <c r="C9" s="1" t="s">
        <v>34</v>
      </c>
      <c r="D9" s="1" t="s">
        <v>35</v>
      </c>
      <c r="E9" s="1" t="s">
        <v>20</v>
      </c>
      <c r="F9" s="1">
        <v>12</v>
      </c>
      <c r="G9" s="1">
        <v>2902</v>
      </c>
      <c r="H9" s="1">
        <v>610</v>
      </c>
      <c r="I9" s="1">
        <v>2292</v>
      </c>
      <c r="J9" s="1">
        <v>1000</v>
      </c>
      <c r="K9" s="1">
        <v>4.8</v>
      </c>
      <c r="L9" s="4">
        <f>Table1[[#This Row],[Net Earnings]]-Table1[[#This Row],[Fuel Cost]]</f>
        <v>1292</v>
      </c>
    </row>
    <row r="10" spans="1:15" ht="14.25" customHeight="1" x14ac:dyDescent="0.25">
      <c r="A10" s="3">
        <v>46133</v>
      </c>
      <c r="B10" s="1" t="s">
        <v>36</v>
      </c>
      <c r="C10" s="1" t="s">
        <v>37</v>
      </c>
      <c r="D10" s="1" t="s">
        <v>13</v>
      </c>
      <c r="E10" s="1" t="s">
        <v>38</v>
      </c>
      <c r="F10" s="1">
        <v>27</v>
      </c>
      <c r="G10" s="1">
        <v>5913</v>
      </c>
      <c r="H10" s="1">
        <v>1300</v>
      </c>
      <c r="I10" s="1">
        <v>4613</v>
      </c>
      <c r="J10" s="1">
        <v>1770</v>
      </c>
      <c r="K10" s="1">
        <v>4.5</v>
      </c>
      <c r="L10" s="4">
        <f>Table1[[#This Row],[Net Earnings]]-Table1[[#This Row],[Fuel Cost]]</f>
        <v>2843</v>
      </c>
    </row>
    <row r="11" spans="1:15" ht="14.25" customHeight="1" x14ac:dyDescent="0.25">
      <c r="A11" s="3">
        <v>46134</v>
      </c>
      <c r="B11" s="1" t="s">
        <v>39</v>
      </c>
      <c r="C11" s="1" t="s">
        <v>40</v>
      </c>
      <c r="D11" s="1" t="s">
        <v>14</v>
      </c>
      <c r="E11" s="1" t="s">
        <v>41</v>
      </c>
      <c r="F11" s="1">
        <v>16</v>
      </c>
      <c r="G11" s="1">
        <v>3354</v>
      </c>
      <c r="H11" s="1">
        <v>700</v>
      </c>
      <c r="I11" s="1">
        <v>2654</v>
      </c>
      <c r="J11" s="1">
        <v>1110</v>
      </c>
      <c r="K11" s="1">
        <v>4.4000000000000004</v>
      </c>
      <c r="L11" s="4">
        <f>Table1[[#This Row],[Net Earnings]]-Table1[[#This Row],[Fuel Cost]]</f>
        <v>1544</v>
      </c>
    </row>
    <row r="12" spans="1:15" ht="14.25" customHeight="1" x14ac:dyDescent="0.25">
      <c r="A12" s="3">
        <v>46135</v>
      </c>
      <c r="B12" s="1" t="s">
        <v>42</v>
      </c>
      <c r="C12" s="1" t="s">
        <v>43</v>
      </c>
      <c r="D12" s="1" t="s">
        <v>13</v>
      </c>
      <c r="E12" s="1" t="s">
        <v>44</v>
      </c>
      <c r="F12" s="1">
        <v>10</v>
      </c>
      <c r="G12" s="1">
        <v>2123</v>
      </c>
      <c r="H12" s="1">
        <v>470</v>
      </c>
      <c r="I12" s="1">
        <v>1653</v>
      </c>
      <c r="J12" s="1">
        <v>940</v>
      </c>
      <c r="K12" s="1">
        <v>4.9000000000000004</v>
      </c>
      <c r="L12" s="4">
        <f>Table1[[#This Row],[Net Earnings]]-Table1[[#This Row],[Fuel Cost]]</f>
        <v>713</v>
      </c>
    </row>
    <row r="13" spans="1:15" ht="14.25" customHeight="1" x14ac:dyDescent="0.25">
      <c r="A13" s="3">
        <v>46136</v>
      </c>
      <c r="B13" s="1" t="s">
        <v>45</v>
      </c>
      <c r="C13" s="1" t="s">
        <v>46</v>
      </c>
      <c r="D13" s="1" t="s">
        <v>20</v>
      </c>
      <c r="E13" s="1" t="s">
        <v>47</v>
      </c>
      <c r="F13" s="1">
        <v>25</v>
      </c>
      <c r="G13" s="1">
        <v>5310</v>
      </c>
      <c r="H13" s="1">
        <v>1170</v>
      </c>
      <c r="I13" s="1">
        <v>4140</v>
      </c>
      <c r="J13" s="1">
        <v>1610</v>
      </c>
      <c r="K13" s="1">
        <v>4.9000000000000004</v>
      </c>
      <c r="L13" s="4">
        <f>Table1[[#This Row],[Net Earnings]]-Table1[[#This Row],[Fuel Cost]]</f>
        <v>2530</v>
      </c>
    </row>
    <row r="14" spans="1:15" ht="14.25" customHeight="1" x14ac:dyDescent="0.25">
      <c r="A14" s="3">
        <v>46137</v>
      </c>
      <c r="B14" s="1" t="s">
        <v>11</v>
      </c>
      <c r="C14" s="1" t="s">
        <v>12</v>
      </c>
      <c r="D14" s="1" t="s">
        <v>14</v>
      </c>
      <c r="E14" s="1" t="s">
        <v>13</v>
      </c>
      <c r="F14" s="1">
        <v>14</v>
      </c>
      <c r="G14" s="1">
        <v>3390</v>
      </c>
      <c r="H14" s="1">
        <v>710</v>
      </c>
      <c r="I14" s="1">
        <v>2680</v>
      </c>
      <c r="J14" s="1">
        <v>1200</v>
      </c>
      <c r="K14" s="1">
        <v>4.5</v>
      </c>
      <c r="L14" s="4">
        <f>Table1[[#This Row],[Net Earnings]]-Table1[[#This Row],[Fuel Cost]]</f>
        <v>1480</v>
      </c>
    </row>
    <row r="15" spans="1:15" ht="14.25" customHeight="1" x14ac:dyDescent="0.25">
      <c r="A15" s="3">
        <v>46138</v>
      </c>
      <c r="B15" s="1" t="s">
        <v>15</v>
      </c>
      <c r="C15" s="1" t="s">
        <v>16</v>
      </c>
      <c r="D15" s="1" t="s">
        <v>20</v>
      </c>
      <c r="E15" s="1" t="s">
        <v>48</v>
      </c>
      <c r="F15" s="1">
        <v>14</v>
      </c>
      <c r="G15" s="1">
        <v>3308</v>
      </c>
      <c r="H15" s="1">
        <v>660</v>
      </c>
      <c r="I15" s="1">
        <v>2648</v>
      </c>
      <c r="J15" s="1">
        <v>1210</v>
      </c>
      <c r="K15" s="1">
        <v>4.5</v>
      </c>
      <c r="L15" s="4">
        <f>Table1[[#This Row],[Net Earnings]]-Table1[[#This Row],[Fuel Cost]]</f>
        <v>1438</v>
      </c>
    </row>
    <row r="16" spans="1:15" ht="14.25" customHeight="1" x14ac:dyDescent="0.25">
      <c r="A16" s="3">
        <v>46139</v>
      </c>
      <c r="B16" s="1" t="s">
        <v>18</v>
      </c>
      <c r="C16" s="1" t="s">
        <v>19</v>
      </c>
      <c r="D16" s="1" t="s">
        <v>13</v>
      </c>
      <c r="E16" s="1" t="s">
        <v>49</v>
      </c>
      <c r="F16" s="1">
        <v>27</v>
      </c>
      <c r="G16" s="1">
        <v>7462</v>
      </c>
      <c r="H16" s="1">
        <v>1340</v>
      </c>
      <c r="I16" s="1">
        <v>6122</v>
      </c>
      <c r="J16" s="1">
        <v>1760</v>
      </c>
      <c r="K16" s="1">
        <v>4.7</v>
      </c>
      <c r="L16" s="4">
        <f>Table1[[#This Row],[Net Earnings]]-Table1[[#This Row],[Fuel Cost]]</f>
        <v>4362</v>
      </c>
    </row>
    <row r="17" spans="1:12" ht="14.25" customHeight="1" x14ac:dyDescent="0.25">
      <c r="A17" s="3">
        <v>46140</v>
      </c>
      <c r="B17" s="1" t="s">
        <v>21</v>
      </c>
      <c r="C17" s="1" t="s">
        <v>22</v>
      </c>
      <c r="D17" s="1" t="s">
        <v>14</v>
      </c>
      <c r="E17" s="1" t="s">
        <v>50</v>
      </c>
      <c r="F17" s="1">
        <v>14</v>
      </c>
      <c r="G17" s="1">
        <v>3221</v>
      </c>
      <c r="H17" s="1">
        <v>680</v>
      </c>
      <c r="I17" s="1">
        <v>2541</v>
      </c>
      <c r="J17" s="1">
        <v>1180</v>
      </c>
      <c r="K17" s="1">
        <v>4.5999999999999996</v>
      </c>
      <c r="L17" s="4">
        <f>Table1[[#This Row],[Net Earnings]]-Table1[[#This Row],[Fuel Cost]]</f>
        <v>1361</v>
      </c>
    </row>
    <row r="18" spans="1:12" ht="14.25" customHeight="1" x14ac:dyDescent="0.25">
      <c r="A18" s="3">
        <v>46141</v>
      </c>
      <c r="B18" s="1" t="s">
        <v>24</v>
      </c>
      <c r="C18" s="1" t="s">
        <v>25</v>
      </c>
      <c r="D18" s="1" t="s">
        <v>13</v>
      </c>
      <c r="E18" s="1" t="s">
        <v>51</v>
      </c>
      <c r="F18" s="1">
        <v>21</v>
      </c>
      <c r="G18" s="1">
        <v>5280</v>
      </c>
      <c r="H18" s="1">
        <v>950</v>
      </c>
      <c r="I18" s="1">
        <v>4330</v>
      </c>
      <c r="J18" s="1">
        <v>1290</v>
      </c>
      <c r="K18" s="1">
        <v>4.8</v>
      </c>
      <c r="L18" s="4">
        <f>Table1[[#This Row],[Net Earnings]]-Table1[[#This Row],[Fuel Cost]]</f>
        <v>3040</v>
      </c>
    </row>
    <row r="19" spans="1:12" ht="14.25" customHeight="1" x14ac:dyDescent="0.25">
      <c r="A19" s="3">
        <v>46142</v>
      </c>
      <c r="B19" s="1" t="s">
        <v>27</v>
      </c>
      <c r="C19" s="1" t="s">
        <v>28</v>
      </c>
      <c r="D19" s="1" t="s">
        <v>13</v>
      </c>
      <c r="E19" s="1" t="s">
        <v>14</v>
      </c>
      <c r="F19" s="1">
        <v>24</v>
      </c>
      <c r="G19" s="1">
        <v>5594</v>
      </c>
      <c r="H19" s="1">
        <v>1060</v>
      </c>
      <c r="I19" s="1">
        <v>4534</v>
      </c>
      <c r="J19" s="1">
        <v>1440</v>
      </c>
      <c r="K19" s="1">
        <v>4.4000000000000004</v>
      </c>
      <c r="L19" s="4">
        <f>Table1[[#This Row],[Net Earnings]]-Table1[[#This Row],[Fuel Cost]]</f>
        <v>3094</v>
      </c>
    </row>
    <row r="20" spans="1:12" ht="14.25" customHeight="1" x14ac:dyDescent="0.25">
      <c r="A20" s="3">
        <v>46143</v>
      </c>
      <c r="B20" s="1" t="s">
        <v>30</v>
      </c>
      <c r="C20" s="1" t="s">
        <v>31</v>
      </c>
      <c r="D20" s="1" t="s">
        <v>13</v>
      </c>
      <c r="E20" s="1" t="s">
        <v>17</v>
      </c>
      <c r="F20" s="1">
        <v>15</v>
      </c>
      <c r="G20" s="1">
        <v>3730</v>
      </c>
      <c r="H20" s="1">
        <v>820</v>
      </c>
      <c r="I20" s="1">
        <v>2910</v>
      </c>
      <c r="J20" s="1">
        <v>1070</v>
      </c>
      <c r="K20" s="1">
        <v>4.7</v>
      </c>
      <c r="L20" s="4">
        <f>Table1[[#This Row],[Net Earnings]]-Table1[[#This Row],[Fuel Cost]]</f>
        <v>1840</v>
      </c>
    </row>
    <row r="21" spans="1:12" ht="14.25" customHeight="1" x14ac:dyDescent="0.25">
      <c r="A21" s="3">
        <v>46144</v>
      </c>
      <c r="B21" s="1" t="s">
        <v>33</v>
      </c>
      <c r="C21" s="1" t="s">
        <v>34</v>
      </c>
      <c r="D21" s="1" t="s">
        <v>20</v>
      </c>
      <c r="E21" s="1" t="s">
        <v>13</v>
      </c>
      <c r="F21" s="1">
        <v>27</v>
      </c>
      <c r="G21" s="1">
        <v>6956</v>
      </c>
      <c r="H21" s="1">
        <v>1390</v>
      </c>
      <c r="I21" s="1">
        <v>5566</v>
      </c>
      <c r="J21" s="1">
        <v>1530</v>
      </c>
      <c r="K21" s="1">
        <v>4.7</v>
      </c>
      <c r="L21" s="4">
        <f>Table1[[#This Row],[Net Earnings]]-Table1[[#This Row],[Fuel Cost]]</f>
        <v>4036</v>
      </c>
    </row>
    <row r="22" spans="1:12" ht="14.25" customHeight="1" x14ac:dyDescent="0.25">
      <c r="A22" s="3">
        <v>46145</v>
      </c>
      <c r="B22" s="1" t="s">
        <v>36</v>
      </c>
      <c r="C22" s="1" t="s">
        <v>37</v>
      </c>
      <c r="D22" s="1" t="s">
        <v>20</v>
      </c>
      <c r="E22" s="1" t="s">
        <v>23</v>
      </c>
      <c r="F22" s="1">
        <v>10</v>
      </c>
      <c r="G22" s="1">
        <v>2635</v>
      </c>
      <c r="H22" s="1">
        <v>550</v>
      </c>
      <c r="I22" s="1">
        <v>2085</v>
      </c>
      <c r="J22" s="1">
        <v>1020</v>
      </c>
      <c r="K22" s="1">
        <v>4.4000000000000004</v>
      </c>
      <c r="L22" s="4">
        <f>Table1[[#This Row],[Net Earnings]]-Table1[[#This Row],[Fuel Cost]]</f>
        <v>1065</v>
      </c>
    </row>
    <row r="23" spans="1:12" ht="14.25" customHeight="1" x14ac:dyDescent="0.25">
      <c r="A23" s="3">
        <v>46146</v>
      </c>
      <c r="B23" s="1" t="s">
        <v>39</v>
      </c>
      <c r="C23" s="1" t="s">
        <v>40</v>
      </c>
      <c r="D23" s="1" t="s">
        <v>20</v>
      </c>
      <c r="E23" s="1" t="s">
        <v>26</v>
      </c>
      <c r="F23" s="1">
        <v>21</v>
      </c>
      <c r="G23" s="1">
        <v>4866</v>
      </c>
      <c r="H23" s="1">
        <v>1020</v>
      </c>
      <c r="I23" s="1">
        <v>3846</v>
      </c>
      <c r="J23" s="1">
        <v>1520</v>
      </c>
      <c r="K23" s="1">
        <v>4.5999999999999996</v>
      </c>
      <c r="L23" s="4">
        <f>Table1[[#This Row],[Net Earnings]]-Table1[[#This Row],[Fuel Cost]]</f>
        <v>2326</v>
      </c>
    </row>
    <row r="24" spans="1:12" ht="14.25" customHeight="1" x14ac:dyDescent="0.25">
      <c r="A24" s="3">
        <v>46147</v>
      </c>
      <c r="B24" s="1" t="s">
        <v>42</v>
      </c>
      <c r="C24" s="1" t="s">
        <v>43</v>
      </c>
      <c r="D24" s="1" t="s">
        <v>20</v>
      </c>
      <c r="E24" s="1" t="s">
        <v>29</v>
      </c>
      <c r="F24" s="1">
        <v>16</v>
      </c>
      <c r="G24" s="1">
        <v>3258</v>
      </c>
      <c r="H24" s="1">
        <v>720</v>
      </c>
      <c r="I24" s="1">
        <v>2538</v>
      </c>
      <c r="J24" s="1">
        <v>1190</v>
      </c>
      <c r="K24" s="1">
        <v>4.4000000000000004</v>
      </c>
      <c r="L24" s="4">
        <f>Table1[[#This Row],[Net Earnings]]-Table1[[#This Row],[Fuel Cost]]</f>
        <v>1348</v>
      </c>
    </row>
    <row r="25" spans="1:12" ht="14.25" customHeight="1" x14ac:dyDescent="0.25">
      <c r="A25" s="3">
        <v>46148</v>
      </c>
      <c r="B25" s="1" t="s">
        <v>45</v>
      </c>
      <c r="C25" s="1" t="s">
        <v>46</v>
      </c>
      <c r="D25" s="1" t="s">
        <v>14</v>
      </c>
      <c r="E25" s="1" t="s">
        <v>32</v>
      </c>
      <c r="F25" s="1">
        <v>14</v>
      </c>
      <c r="G25" s="1">
        <v>3742</v>
      </c>
      <c r="H25" s="1">
        <v>710</v>
      </c>
      <c r="I25" s="1">
        <v>3032</v>
      </c>
      <c r="J25" s="1">
        <v>1210</v>
      </c>
      <c r="K25" s="1">
        <v>4.8</v>
      </c>
      <c r="L25" s="4">
        <f>Table1[[#This Row],[Net Earnings]]-Table1[[#This Row],[Fuel Cost]]</f>
        <v>1822</v>
      </c>
    </row>
    <row r="26" spans="1:12" ht="14.25" customHeight="1" x14ac:dyDescent="0.25">
      <c r="A26" s="3">
        <v>46149</v>
      </c>
      <c r="B26" s="1" t="s">
        <v>11</v>
      </c>
      <c r="C26" s="1" t="s">
        <v>12</v>
      </c>
      <c r="D26" s="1" t="s">
        <v>35</v>
      </c>
      <c r="E26" s="1" t="s">
        <v>20</v>
      </c>
      <c r="F26" s="1">
        <v>15</v>
      </c>
      <c r="G26" s="1">
        <v>3147</v>
      </c>
      <c r="H26" s="1">
        <v>630</v>
      </c>
      <c r="I26" s="1">
        <v>2517</v>
      </c>
      <c r="J26" s="1">
        <v>1210</v>
      </c>
      <c r="K26" s="1">
        <v>4.7</v>
      </c>
      <c r="L26" s="4">
        <f>Table1[[#This Row],[Net Earnings]]-Table1[[#This Row],[Fuel Cost]]</f>
        <v>1307</v>
      </c>
    </row>
    <row r="27" spans="1:12" ht="14.25" customHeight="1" x14ac:dyDescent="0.25">
      <c r="A27" s="3">
        <v>46150</v>
      </c>
      <c r="B27" s="1" t="s">
        <v>15</v>
      </c>
      <c r="C27" s="1" t="s">
        <v>16</v>
      </c>
      <c r="D27" s="1" t="s">
        <v>13</v>
      </c>
      <c r="E27" s="1" t="s">
        <v>38</v>
      </c>
      <c r="F27" s="1">
        <v>20</v>
      </c>
      <c r="G27" s="1">
        <v>5438</v>
      </c>
      <c r="H27" s="1">
        <v>980</v>
      </c>
      <c r="I27" s="1">
        <v>4458</v>
      </c>
      <c r="J27" s="1">
        <v>1430</v>
      </c>
      <c r="K27" s="1">
        <v>4.8</v>
      </c>
      <c r="L27" s="4">
        <f>Table1[[#This Row],[Net Earnings]]-Table1[[#This Row],[Fuel Cost]]</f>
        <v>3028</v>
      </c>
    </row>
    <row r="28" spans="1:12" ht="14.25" customHeight="1" x14ac:dyDescent="0.25">
      <c r="A28" s="3">
        <v>46151</v>
      </c>
      <c r="B28" s="1" t="s">
        <v>18</v>
      </c>
      <c r="C28" s="1" t="s">
        <v>19</v>
      </c>
      <c r="D28" s="1" t="s">
        <v>14</v>
      </c>
      <c r="E28" s="1" t="s">
        <v>41</v>
      </c>
      <c r="F28" s="1">
        <v>17</v>
      </c>
      <c r="G28" s="1">
        <v>4173</v>
      </c>
      <c r="H28" s="1">
        <v>920</v>
      </c>
      <c r="I28" s="1">
        <v>3253</v>
      </c>
      <c r="J28" s="1">
        <v>1260</v>
      </c>
      <c r="K28" s="1">
        <v>4.5</v>
      </c>
      <c r="L28" s="4">
        <f>Table1[[#This Row],[Net Earnings]]-Table1[[#This Row],[Fuel Cost]]</f>
        <v>1993</v>
      </c>
    </row>
    <row r="29" spans="1:12" ht="14.25" customHeight="1" x14ac:dyDescent="0.25">
      <c r="A29" s="3">
        <v>46152</v>
      </c>
      <c r="B29" s="1" t="s">
        <v>21</v>
      </c>
      <c r="C29" s="1" t="s">
        <v>22</v>
      </c>
      <c r="D29" s="1" t="s">
        <v>13</v>
      </c>
      <c r="E29" s="1" t="s">
        <v>44</v>
      </c>
      <c r="F29" s="1">
        <v>17</v>
      </c>
      <c r="G29" s="1">
        <v>4706</v>
      </c>
      <c r="H29" s="1">
        <v>940</v>
      </c>
      <c r="I29" s="1">
        <v>3766</v>
      </c>
      <c r="J29" s="1">
        <v>1130</v>
      </c>
      <c r="K29" s="1">
        <v>4.5</v>
      </c>
      <c r="L29" s="4">
        <f>Table1[[#This Row],[Net Earnings]]-Table1[[#This Row],[Fuel Cost]]</f>
        <v>2636</v>
      </c>
    </row>
    <row r="30" spans="1:12" ht="14.25" customHeight="1" x14ac:dyDescent="0.25">
      <c r="A30" s="3">
        <v>46153</v>
      </c>
      <c r="B30" s="1" t="s">
        <v>24</v>
      </c>
      <c r="C30" s="1" t="s">
        <v>25</v>
      </c>
      <c r="D30" s="1" t="s">
        <v>20</v>
      </c>
      <c r="E30" s="1" t="s">
        <v>47</v>
      </c>
      <c r="F30" s="1">
        <v>25</v>
      </c>
      <c r="G30" s="1">
        <v>6754</v>
      </c>
      <c r="H30" s="1">
        <v>1280</v>
      </c>
      <c r="I30" s="1">
        <v>5474</v>
      </c>
      <c r="J30" s="1">
        <v>1430</v>
      </c>
      <c r="K30" s="1">
        <v>4.4000000000000004</v>
      </c>
      <c r="L30" s="4">
        <f>Table1[[#This Row],[Net Earnings]]-Table1[[#This Row],[Fuel Cost]]</f>
        <v>4044</v>
      </c>
    </row>
    <row r="31" spans="1:12" ht="14.25" customHeight="1" x14ac:dyDescent="0.25">
      <c r="A31" s="3">
        <v>46154</v>
      </c>
      <c r="B31" s="1" t="s">
        <v>27</v>
      </c>
      <c r="C31" s="1" t="s">
        <v>28</v>
      </c>
      <c r="D31" s="1" t="s">
        <v>14</v>
      </c>
      <c r="E31" s="1" t="s">
        <v>13</v>
      </c>
      <c r="F31" s="1">
        <v>10</v>
      </c>
      <c r="G31" s="1">
        <v>1999</v>
      </c>
      <c r="H31" s="1">
        <v>400</v>
      </c>
      <c r="I31" s="1">
        <v>1599</v>
      </c>
      <c r="J31" s="1">
        <v>1090</v>
      </c>
      <c r="K31" s="1">
        <v>4.5999999999999996</v>
      </c>
      <c r="L31" s="4">
        <f>Table1[[#This Row],[Net Earnings]]-Table1[[#This Row],[Fuel Cost]]</f>
        <v>509</v>
      </c>
    </row>
    <row r="32" spans="1:12" ht="14.25" customHeight="1" x14ac:dyDescent="0.25">
      <c r="A32" s="3">
        <v>46125</v>
      </c>
      <c r="B32" s="1" t="s">
        <v>30</v>
      </c>
      <c r="C32" s="1" t="s">
        <v>31</v>
      </c>
      <c r="D32" s="1" t="s">
        <v>20</v>
      </c>
      <c r="E32" s="1" t="s">
        <v>48</v>
      </c>
      <c r="F32" s="1">
        <v>11</v>
      </c>
      <c r="G32" s="1">
        <v>2496</v>
      </c>
      <c r="H32" s="1">
        <v>470</v>
      </c>
      <c r="I32" s="1">
        <v>2026</v>
      </c>
      <c r="J32" s="1">
        <v>1070</v>
      </c>
      <c r="K32" s="1">
        <v>4.7</v>
      </c>
      <c r="L32" s="4">
        <f>Table1[[#This Row],[Net Earnings]]-Table1[[#This Row],[Fuel Cost]]</f>
        <v>956</v>
      </c>
    </row>
    <row r="33" spans="1:12" ht="14.25" customHeight="1" x14ac:dyDescent="0.25">
      <c r="A33" s="3">
        <v>46126</v>
      </c>
      <c r="B33" s="1" t="s">
        <v>33</v>
      </c>
      <c r="C33" s="1" t="s">
        <v>34</v>
      </c>
      <c r="D33" s="1" t="s">
        <v>13</v>
      </c>
      <c r="E33" s="1" t="s">
        <v>49</v>
      </c>
      <c r="F33" s="1">
        <v>19</v>
      </c>
      <c r="G33" s="1">
        <v>4005</v>
      </c>
      <c r="H33" s="1">
        <v>800</v>
      </c>
      <c r="I33" s="1">
        <v>3205</v>
      </c>
      <c r="J33" s="1">
        <v>1250</v>
      </c>
      <c r="K33" s="1">
        <v>4.7</v>
      </c>
      <c r="L33" s="4">
        <f>Table1[[#This Row],[Net Earnings]]-Table1[[#This Row],[Fuel Cost]]</f>
        <v>1955</v>
      </c>
    </row>
    <row r="34" spans="1:12" ht="14.25" customHeight="1" x14ac:dyDescent="0.25">
      <c r="A34" s="3">
        <v>46127</v>
      </c>
      <c r="B34" s="1" t="s">
        <v>36</v>
      </c>
      <c r="C34" s="1" t="s">
        <v>37</v>
      </c>
      <c r="D34" s="1" t="s">
        <v>14</v>
      </c>
      <c r="E34" s="1" t="s">
        <v>50</v>
      </c>
      <c r="F34" s="1">
        <v>22</v>
      </c>
      <c r="G34" s="1">
        <v>5637</v>
      </c>
      <c r="H34" s="1">
        <v>1180</v>
      </c>
      <c r="I34" s="1">
        <v>4457</v>
      </c>
      <c r="J34" s="1">
        <v>1570</v>
      </c>
      <c r="K34" s="1">
        <v>4.5999999999999996</v>
      </c>
      <c r="L34" s="4">
        <f>Table1[[#This Row],[Net Earnings]]-Table1[[#This Row],[Fuel Cost]]</f>
        <v>2887</v>
      </c>
    </row>
    <row r="35" spans="1:12" ht="14.25" customHeight="1" x14ac:dyDescent="0.25">
      <c r="A35" s="3">
        <v>46128</v>
      </c>
      <c r="B35" s="1" t="s">
        <v>39</v>
      </c>
      <c r="C35" s="1" t="s">
        <v>40</v>
      </c>
      <c r="D35" s="1" t="s">
        <v>13</v>
      </c>
      <c r="E35" s="1" t="s">
        <v>51</v>
      </c>
      <c r="F35" s="1">
        <v>14</v>
      </c>
      <c r="G35" s="1">
        <v>3355</v>
      </c>
      <c r="H35" s="1">
        <v>740</v>
      </c>
      <c r="I35" s="1">
        <v>2615</v>
      </c>
      <c r="J35" s="1">
        <v>1040</v>
      </c>
      <c r="K35" s="1">
        <v>4.9000000000000004</v>
      </c>
      <c r="L35" s="4">
        <f>Table1[[#This Row],[Net Earnings]]-Table1[[#This Row],[Fuel Cost]]</f>
        <v>1575</v>
      </c>
    </row>
    <row r="36" spans="1:12" ht="14.25" customHeight="1" x14ac:dyDescent="0.25">
      <c r="A36" s="3">
        <v>46129</v>
      </c>
      <c r="B36" s="1" t="s">
        <v>42</v>
      </c>
      <c r="C36" s="1" t="s">
        <v>43</v>
      </c>
      <c r="D36" s="1" t="s">
        <v>13</v>
      </c>
      <c r="E36" s="1" t="s">
        <v>14</v>
      </c>
      <c r="F36" s="1">
        <v>16</v>
      </c>
      <c r="G36" s="1">
        <v>3669</v>
      </c>
      <c r="H36" s="1">
        <v>810</v>
      </c>
      <c r="I36" s="1">
        <v>2859</v>
      </c>
      <c r="J36" s="1">
        <v>1220</v>
      </c>
      <c r="K36" s="1">
        <v>4.7</v>
      </c>
      <c r="L36" s="4">
        <f>Table1[[#This Row],[Net Earnings]]-Table1[[#This Row],[Fuel Cost]]</f>
        <v>1639</v>
      </c>
    </row>
    <row r="37" spans="1:12" ht="14.25" customHeight="1" x14ac:dyDescent="0.25">
      <c r="A37" s="3">
        <v>46130</v>
      </c>
      <c r="B37" s="1" t="s">
        <v>45</v>
      </c>
      <c r="C37" s="1" t="s">
        <v>46</v>
      </c>
      <c r="D37" s="1" t="s">
        <v>13</v>
      </c>
      <c r="E37" s="1" t="s">
        <v>17</v>
      </c>
      <c r="F37" s="1">
        <v>27</v>
      </c>
      <c r="G37" s="1">
        <v>6401</v>
      </c>
      <c r="H37" s="1">
        <v>1340</v>
      </c>
      <c r="I37" s="1">
        <v>5061</v>
      </c>
      <c r="J37" s="1">
        <v>1550</v>
      </c>
      <c r="K37" s="1">
        <v>4.7</v>
      </c>
      <c r="L37" s="4">
        <f>Table1[[#This Row],[Net Earnings]]-Table1[[#This Row],[Fuel Cost]]</f>
        <v>3511</v>
      </c>
    </row>
    <row r="38" spans="1:12" ht="14.25" customHeight="1" x14ac:dyDescent="0.25">
      <c r="A38" s="3">
        <v>46131</v>
      </c>
      <c r="B38" s="1" t="s">
        <v>11</v>
      </c>
      <c r="C38" s="1" t="s">
        <v>12</v>
      </c>
      <c r="D38" s="1" t="s">
        <v>20</v>
      </c>
      <c r="E38" s="1" t="s">
        <v>13</v>
      </c>
      <c r="F38" s="1">
        <v>23</v>
      </c>
      <c r="G38" s="1">
        <v>5065</v>
      </c>
      <c r="H38" s="1">
        <v>1010</v>
      </c>
      <c r="I38" s="1">
        <v>4055</v>
      </c>
      <c r="J38" s="1">
        <v>1460</v>
      </c>
      <c r="K38" s="1">
        <v>4.7</v>
      </c>
      <c r="L38" s="4">
        <f>Table1[[#This Row],[Net Earnings]]-Table1[[#This Row],[Fuel Cost]]</f>
        <v>2595</v>
      </c>
    </row>
    <row r="39" spans="1:12" ht="14.25" customHeight="1" x14ac:dyDescent="0.25">
      <c r="A39" s="3">
        <v>46132</v>
      </c>
      <c r="B39" s="1" t="s">
        <v>15</v>
      </c>
      <c r="C39" s="1" t="s">
        <v>16</v>
      </c>
      <c r="D39" s="1" t="s">
        <v>20</v>
      </c>
      <c r="E39" s="1" t="s">
        <v>23</v>
      </c>
      <c r="F39" s="1">
        <v>25</v>
      </c>
      <c r="G39" s="1">
        <v>6328</v>
      </c>
      <c r="H39" s="1">
        <v>1390</v>
      </c>
      <c r="I39" s="1">
        <v>4938</v>
      </c>
      <c r="J39" s="1">
        <v>1500</v>
      </c>
      <c r="K39" s="1">
        <v>4.8</v>
      </c>
      <c r="L39" s="4">
        <f>Table1[[#This Row],[Net Earnings]]-Table1[[#This Row],[Fuel Cost]]</f>
        <v>3438</v>
      </c>
    </row>
    <row r="40" spans="1:12" ht="14.25" customHeight="1" x14ac:dyDescent="0.25">
      <c r="A40" s="3">
        <v>46133</v>
      </c>
      <c r="B40" s="1" t="s">
        <v>18</v>
      </c>
      <c r="C40" s="1" t="s">
        <v>19</v>
      </c>
      <c r="D40" s="1" t="s">
        <v>20</v>
      </c>
      <c r="E40" s="1" t="s">
        <v>26</v>
      </c>
      <c r="F40" s="1">
        <v>12</v>
      </c>
      <c r="G40" s="1">
        <v>3035</v>
      </c>
      <c r="H40" s="1">
        <v>610</v>
      </c>
      <c r="I40" s="1">
        <v>2425</v>
      </c>
      <c r="J40" s="1">
        <v>990</v>
      </c>
      <c r="K40" s="1">
        <v>4.4000000000000004</v>
      </c>
      <c r="L40" s="4">
        <f>Table1[[#This Row],[Net Earnings]]-Table1[[#This Row],[Fuel Cost]]</f>
        <v>1435</v>
      </c>
    </row>
    <row r="41" spans="1:12" ht="14.25" customHeight="1" x14ac:dyDescent="0.25">
      <c r="A41" s="3">
        <v>46134</v>
      </c>
      <c r="B41" s="1" t="s">
        <v>21</v>
      </c>
      <c r="C41" s="1" t="s">
        <v>22</v>
      </c>
      <c r="D41" s="1" t="s">
        <v>20</v>
      </c>
      <c r="E41" s="1" t="s">
        <v>29</v>
      </c>
      <c r="F41" s="1">
        <v>24</v>
      </c>
      <c r="G41" s="1">
        <v>5034</v>
      </c>
      <c r="H41" s="1">
        <v>1010</v>
      </c>
      <c r="I41" s="1">
        <v>4024</v>
      </c>
      <c r="J41" s="1">
        <v>1400</v>
      </c>
      <c r="K41" s="1">
        <v>4.5999999999999996</v>
      </c>
      <c r="L41" s="4">
        <f>Table1[[#This Row],[Net Earnings]]-Table1[[#This Row],[Fuel Cost]]</f>
        <v>2624</v>
      </c>
    </row>
    <row r="42" spans="1:12" ht="14.25" customHeight="1" x14ac:dyDescent="0.25">
      <c r="A42" s="3">
        <v>46135</v>
      </c>
      <c r="B42" s="1" t="s">
        <v>24</v>
      </c>
      <c r="C42" s="1" t="s">
        <v>25</v>
      </c>
      <c r="D42" s="1" t="s">
        <v>14</v>
      </c>
      <c r="E42" s="1" t="s">
        <v>32</v>
      </c>
      <c r="F42" s="1">
        <v>22</v>
      </c>
      <c r="G42" s="1">
        <v>4951</v>
      </c>
      <c r="H42" s="1">
        <v>890</v>
      </c>
      <c r="I42" s="1">
        <v>4061</v>
      </c>
      <c r="J42" s="1">
        <v>1430</v>
      </c>
      <c r="K42" s="1">
        <v>4.5</v>
      </c>
      <c r="L42" s="4">
        <f>Table1[[#This Row],[Net Earnings]]-Table1[[#This Row],[Fuel Cost]]</f>
        <v>2631</v>
      </c>
    </row>
    <row r="43" spans="1:12" ht="14.25" customHeight="1" x14ac:dyDescent="0.25">
      <c r="A43" s="3">
        <v>46136</v>
      </c>
      <c r="B43" s="1" t="s">
        <v>27</v>
      </c>
      <c r="C43" s="1" t="s">
        <v>28</v>
      </c>
      <c r="D43" s="1" t="s">
        <v>35</v>
      </c>
      <c r="E43" s="1" t="s">
        <v>20</v>
      </c>
      <c r="F43" s="1">
        <v>15</v>
      </c>
      <c r="G43" s="1">
        <v>3120</v>
      </c>
      <c r="H43" s="1">
        <v>660</v>
      </c>
      <c r="I43" s="1">
        <v>2460</v>
      </c>
      <c r="J43" s="1">
        <v>1100</v>
      </c>
      <c r="K43" s="1">
        <v>4.5</v>
      </c>
      <c r="L43" s="4">
        <f>Table1[[#This Row],[Net Earnings]]-Table1[[#This Row],[Fuel Cost]]</f>
        <v>1360</v>
      </c>
    </row>
    <row r="44" spans="1:12" ht="14.25" customHeight="1" x14ac:dyDescent="0.25">
      <c r="A44" s="3">
        <v>46137</v>
      </c>
      <c r="B44" s="1" t="s">
        <v>30</v>
      </c>
      <c r="C44" s="1" t="s">
        <v>31</v>
      </c>
      <c r="D44" s="1" t="s">
        <v>13</v>
      </c>
      <c r="E44" s="1" t="s">
        <v>38</v>
      </c>
      <c r="F44" s="1">
        <v>11</v>
      </c>
      <c r="G44" s="1">
        <v>2403</v>
      </c>
      <c r="H44" s="1">
        <v>530</v>
      </c>
      <c r="I44" s="1">
        <v>1873</v>
      </c>
      <c r="J44" s="1">
        <v>1160</v>
      </c>
      <c r="K44" s="1">
        <v>4.7</v>
      </c>
      <c r="L44" s="4">
        <f>Table1[[#This Row],[Net Earnings]]-Table1[[#This Row],[Fuel Cost]]</f>
        <v>713</v>
      </c>
    </row>
    <row r="45" spans="1:12" ht="14.25" customHeight="1" x14ac:dyDescent="0.25">
      <c r="A45" s="3">
        <v>46138</v>
      </c>
      <c r="B45" s="1" t="s">
        <v>33</v>
      </c>
      <c r="C45" s="1" t="s">
        <v>34</v>
      </c>
      <c r="D45" s="1" t="s">
        <v>14</v>
      </c>
      <c r="E45" s="1" t="s">
        <v>41</v>
      </c>
      <c r="F45" s="1">
        <v>18</v>
      </c>
      <c r="G45" s="1">
        <v>4750</v>
      </c>
      <c r="H45" s="1">
        <v>900</v>
      </c>
      <c r="I45" s="1">
        <v>3850</v>
      </c>
      <c r="J45" s="1">
        <v>1290</v>
      </c>
      <c r="K45" s="1">
        <v>4.5</v>
      </c>
      <c r="L45" s="4">
        <f>Table1[[#This Row],[Net Earnings]]-Table1[[#This Row],[Fuel Cost]]</f>
        <v>2560</v>
      </c>
    </row>
    <row r="46" spans="1:12" ht="14.25" customHeight="1" x14ac:dyDescent="0.25">
      <c r="A46" s="3">
        <v>46139</v>
      </c>
      <c r="B46" s="1" t="s">
        <v>36</v>
      </c>
      <c r="C46" s="1" t="s">
        <v>37</v>
      </c>
      <c r="D46" s="1" t="s">
        <v>13</v>
      </c>
      <c r="E46" s="1" t="s">
        <v>44</v>
      </c>
      <c r="F46" s="1">
        <v>16</v>
      </c>
      <c r="G46" s="1">
        <v>4230</v>
      </c>
      <c r="H46" s="1">
        <v>800</v>
      </c>
      <c r="I46" s="1">
        <v>3430</v>
      </c>
      <c r="J46" s="1">
        <v>1390</v>
      </c>
      <c r="K46" s="1">
        <v>4.7</v>
      </c>
      <c r="L46" s="4">
        <f>Table1[[#This Row],[Net Earnings]]-Table1[[#This Row],[Fuel Cost]]</f>
        <v>2040</v>
      </c>
    </row>
    <row r="47" spans="1:12" ht="14.25" customHeight="1" x14ac:dyDescent="0.25">
      <c r="A47" s="3">
        <v>46140</v>
      </c>
      <c r="B47" s="1" t="s">
        <v>39</v>
      </c>
      <c r="C47" s="1" t="s">
        <v>40</v>
      </c>
      <c r="D47" s="1" t="s">
        <v>20</v>
      </c>
      <c r="E47" s="1" t="s">
        <v>47</v>
      </c>
      <c r="F47" s="1">
        <v>15</v>
      </c>
      <c r="G47" s="1">
        <v>3270</v>
      </c>
      <c r="H47" s="1">
        <v>590</v>
      </c>
      <c r="I47" s="1">
        <v>2680</v>
      </c>
      <c r="J47" s="1">
        <v>1220</v>
      </c>
      <c r="K47" s="1">
        <v>4.5</v>
      </c>
      <c r="L47" s="4">
        <f>Table1[[#This Row],[Net Earnings]]-Table1[[#This Row],[Fuel Cost]]</f>
        <v>1460</v>
      </c>
    </row>
    <row r="48" spans="1:12" ht="14.25" customHeight="1" x14ac:dyDescent="0.25">
      <c r="A48" s="3">
        <v>46141</v>
      </c>
      <c r="B48" s="1" t="s">
        <v>42</v>
      </c>
      <c r="C48" s="1" t="s">
        <v>43</v>
      </c>
      <c r="D48" s="1" t="s">
        <v>14</v>
      </c>
      <c r="E48" s="1" t="s">
        <v>13</v>
      </c>
      <c r="F48" s="1">
        <v>27</v>
      </c>
      <c r="G48" s="1">
        <v>5983</v>
      </c>
      <c r="H48" s="1">
        <v>1200</v>
      </c>
      <c r="I48" s="1">
        <v>4783</v>
      </c>
      <c r="J48" s="1">
        <v>1800</v>
      </c>
      <c r="K48" s="1">
        <v>4.5999999999999996</v>
      </c>
      <c r="L48" s="4">
        <f>Table1[[#This Row],[Net Earnings]]-Table1[[#This Row],[Fuel Cost]]</f>
        <v>2983</v>
      </c>
    </row>
    <row r="49" spans="1:12" ht="14.25" customHeight="1" x14ac:dyDescent="0.25">
      <c r="A49" s="3">
        <v>46142</v>
      </c>
      <c r="B49" s="1" t="s">
        <v>45</v>
      </c>
      <c r="C49" s="1" t="s">
        <v>46</v>
      </c>
      <c r="D49" s="1" t="s">
        <v>20</v>
      </c>
      <c r="E49" s="1" t="s">
        <v>48</v>
      </c>
      <c r="F49" s="1">
        <v>27</v>
      </c>
      <c r="G49" s="1">
        <v>6212</v>
      </c>
      <c r="H49" s="1">
        <v>1370</v>
      </c>
      <c r="I49" s="1">
        <v>4842</v>
      </c>
      <c r="J49" s="1">
        <v>1810</v>
      </c>
      <c r="K49" s="1">
        <v>4.3</v>
      </c>
      <c r="L49" s="4">
        <f>Table1[[#This Row],[Net Earnings]]-Table1[[#This Row],[Fuel Cost]]</f>
        <v>3032</v>
      </c>
    </row>
    <row r="50" spans="1:12" ht="14.25" customHeight="1" x14ac:dyDescent="0.25">
      <c r="A50" s="3">
        <v>46143</v>
      </c>
      <c r="B50" s="1" t="s">
        <v>11</v>
      </c>
      <c r="C50" s="1" t="s">
        <v>12</v>
      </c>
      <c r="D50" s="1" t="s">
        <v>13</v>
      </c>
      <c r="E50" s="1" t="s">
        <v>49</v>
      </c>
      <c r="F50" s="1">
        <v>22</v>
      </c>
      <c r="G50" s="1">
        <v>4997</v>
      </c>
      <c r="H50" s="1">
        <v>1000</v>
      </c>
      <c r="I50" s="1">
        <v>3997</v>
      </c>
      <c r="J50" s="1">
        <v>1270</v>
      </c>
      <c r="K50" s="1">
        <v>4.5</v>
      </c>
      <c r="L50" s="4">
        <f>Table1[[#This Row],[Net Earnings]]-Table1[[#This Row],[Fuel Cost]]</f>
        <v>2727</v>
      </c>
    </row>
    <row r="51" spans="1:12" ht="14.25" customHeight="1" x14ac:dyDescent="0.25">
      <c r="A51" s="3">
        <v>46144</v>
      </c>
      <c r="B51" s="1" t="s">
        <v>15</v>
      </c>
      <c r="C51" s="1" t="s">
        <v>16</v>
      </c>
      <c r="D51" s="1" t="s">
        <v>14</v>
      </c>
      <c r="E51" s="1" t="s">
        <v>50</v>
      </c>
      <c r="F51" s="1">
        <v>26</v>
      </c>
      <c r="G51" s="1">
        <v>5594</v>
      </c>
      <c r="H51" s="1">
        <v>1010</v>
      </c>
      <c r="I51" s="1">
        <v>4584</v>
      </c>
      <c r="J51" s="1">
        <v>1440</v>
      </c>
      <c r="K51" s="1">
        <v>4.4000000000000004</v>
      </c>
      <c r="L51" s="4">
        <f>Table1[[#This Row],[Net Earnings]]-Table1[[#This Row],[Fuel Cost]]</f>
        <v>3144</v>
      </c>
    </row>
    <row r="52" spans="1:12" ht="14.25" customHeight="1" x14ac:dyDescent="0.25">
      <c r="A52" s="3">
        <v>46145</v>
      </c>
      <c r="B52" s="1" t="s">
        <v>18</v>
      </c>
      <c r="C52" s="1" t="s">
        <v>19</v>
      </c>
      <c r="D52" s="1" t="s">
        <v>13</v>
      </c>
      <c r="E52" s="1" t="s">
        <v>51</v>
      </c>
      <c r="F52" s="1">
        <v>17</v>
      </c>
      <c r="G52" s="1">
        <v>4339</v>
      </c>
      <c r="H52" s="1">
        <v>870</v>
      </c>
      <c r="I52" s="1">
        <v>3469</v>
      </c>
      <c r="J52" s="1">
        <v>1300</v>
      </c>
      <c r="K52" s="1">
        <v>4.4000000000000004</v>
      </c>
      <c r="L52" s="4">
        <f>Table1[[#This Row],[Net Earnings]]-Table1[[#This Row],[Fuel Cost]]</f>
        <v>2169</v>
      </c>
    </row>
    <row r="53" spans="1:12" ht="14.25" customHeight="1" x14ac:dyDescent="0.25">
      <c r="A53" s="3">
        <v>46146</v>
      </c>
      <c r="B53" s="1" t="s">
        <v>21</v>
      </c>
      <c r="C53" s="1" t="s">
        <v>22</v>
      </c>
      <c r="D53" s="1" t="s">
        <v>13</v>
      </c>
      <c r="E53" s="1" t="s">
        <v>14</v>
      </c>
      <c r="F53" s="1">
        <v>23</v>
      </c>
      <c r="G53" s="1">
        <v>4612</v>
      </c>
      <c r="H53" s="1">
        <v>970</v>
      </c>
      <c r="I53" s="1">
        <v>3642</v>
      </c>
      <c r="J53" s="1">
        <v>1330</v>
      </c>
      <c r="K53" s="1">
        <v>4.4000000000000004</v>
      </c>
      <c r="L53" s="4">
        <f>Table1[[#This Row],[Net Earnings]]-Table1[[#This Row],[Fuel Cost]]</f>
        <v>2312</v>
      </c>
    </row>
    <row r="54" spans="1:12" ht="14.25" customHeight="1" x14ac:dyDescent="0.25">
      <c r="A54" s="3">
        <v>46147</v>
      </c>
      <c r="B54" s="1" t="s">
        <v>24</v>
      </c>
      <c r="C54" s="1" t="s">
        <v>25</v>
      </c>
      <c r="D54" s="1" t="s">
        <v>13</v>
      </c>
      <c r="E54" s="1" t="s">
        <v>17</v>
      </c>
      <c r="F54" s="1">
        <v>26</v>
      </c>
      <c r="G54" s="1">
        <v>6095</v>
      </c>
      <c r="H54" s="1">
        <v>1280</v>
      </c>
      <c r="I54" s="1">
        <v>4815</v>
      </c>
      <c r="J54" s="1">
        <v>1450</v>
      </c>
      <c r="K54" s="1">
        <v>4.8</v>
      </c>
      <c r="L54" s="4">
        <f>Table1[[#This Row],[Net Earnings]]-Table1[[#This Row],[Fuel Cost]]</f>
        <v>3365</v>
      </c>
    </row>
    <row r="55" spans="1:12" ht="14.25" customHeight="1" x14ac:dyDescent="0.25">
      <c r="A55" s="3">
        <v>46148</v>
      </c>
      <c r="B55" s="1" t="s">
        <v>27</v>
      </c>
      <c r="C55" s="1" t="s">
        <v>28</v>
      </c>
      <c r="D55" s="1" t="s">
        <v>20</v>
      </c>
      <c r="E55" s="1" t="s">
        <v>13</v>
      </c>
      <c r="F55" s="1">
        <v>14</v>
      </c>
      <c r="G55" s="1">
        <v>3716</v>
      </c>
      <c r="H55" s="1">
        <v>780</v>
      </c>
      <c r="I55" s="1">
        <v>2936</v>
      </c>
      <c r="J55" s="1">
        <v>1130</v>
      </c>
      <c r="K55" s="1">
        <v>4.9000000000000004</v>
      </c>
      <c r="L55" s="4">
        <f>Table1[[#This Row],[Net Earnings]]-Table1[[#This Row],[Fuel Cost]]</f>
        <v>1806</v>
      </c>
    </row>
    <row r="56" spans="1:12" ht="14.25" customHeight="1" x14ac:dyDescent="0.25">
      <c r="A56" s="3">
        <v>46149</v>
      </c>
      <c r="B56" s="1" t="s">
        <v>30</v>
      </c>
      <c r="C56" s="1" t="s">
        <v>31</v>
      </c>
      <c r="D56" s="1" t="s">
        <v>20</v>
      </c>
      <c r="E56" s="1" t="s">
        <v>23</v>
      </c>
      <c r="F56" s="1">
        <v>10</v>
      </c>
      <c r="G56" s="1">
        <v>2299</v>
      </c>
      <c r="H56" s="1">
        <v>440</v>
      </c>
      <c r="I56" s="1">
        <v>1859</v>
      </c>
      <c r="J56" s="1">
        <v>960</v>
      </c>
      <c r="K56" s="1">
        <v>4.9000000000000004</v>
      </c>
      <c r="L56" s="4">
        <f>Table1[[#This Row],[Net Earnings]]-Table1[[#This Row],[Fuel Cost]]</f>
        <v>899</v>
      </c>
    </row>
    <row r="57" spans="1:12" ht="14.25" customHeight="1" x14ac:dyDescent="0.25">
      <c r="A57" s="3">
        <v>46150</v>
      </c>
      <c r="B57" s="1" t="s">
        <v>33</v>
      </c>
      <c r="C57" s="1" t="s">
        <v>34</v>
      </c>
      <c r="D57" s="1" t="s">
        <v>20</v>
      </c>
      <c r="E57" s="1" t="s">
        <v>26</v>
      </c>
      <c r="F57" s="1">
        <v>27</v>
      </c>
      <c r="G57" s="1">
        <v>5979</v>
      </c>
      <c r="H57" s="1">
        <v>1320</v>
      </c>
      <c r="I57" s="1">
        <v>4659</v>
      </c>
      <c r="J57" s="1">
        <v>1720</v>
      </c>
      <c r="K57" s="1">
        <v>4.7</v>
      </c>
      <c r="L57" s="4">
        <f>Table1[[#This Row],[Net Earnings]]-Table1[[#This Row],[Fuel Cost]]</f>
        <v>2939</v>
      </c>
    </row>
    <row r="58" spans="1:12" ht="14.25" customHeight="1" x14ac:dyDescent="0.25">
      <c r="A58" s="3">
        <v>46151</v>
      </c>
      <c r="B58" s="1" t="s">
        <v>36</v>
      </c>
      <c r="C58" s="1" t="s">
        <v>37</v>
      </c>
      <c r="D58" s="1" t="s">
        <v>20</v>
      </c>
      <c r="E58" s="1" t="s">
        <v>29</v>
      </c>
      <c r="F58" s="1">
        <v>10</v>
      </c>
      <c r="G58" s="1">
        <v>2601</v>
      </c>
      <c r="H58" s="1">
        <v>470</v>
      </c>
      <c r="I58" s="1">
        <v>2131</v>
      </c>
      <c r="J58" s="1">
        <v>960</v>
      </c>
      <c r="K58" s="1">
        <v>4.5</v>
      </c>
      <c r="L58" s="4">
        <f>Table1[[#This Row],[Net Earnings]]-Table1[[#This Row],[Fuel Cost]]</f>
        <v>1171</v>
      </c>
    </row>
    <row r="59" spans="1:12" ht="14.25" customHeight="1" x14ac:dyDescent="0.25">
      <c r="A59" s="3">
        <v>46152</v>
      </c>
      <c r="B59" s="1" t="s">
        <v>39</v>
      </c>
      <c r="C59" s="1" t="s">
        <v>40</v>
      </c>
      <c r="D59" s="1" t="s">
        <v>14</v>
      </c>
      <c r="E59" s="1" t="s">
        <v>32</v>
      </c>
      <c r="F59" s="1">
        <v>10</v>
      </c>
      <c r="G59" s="1">
        <v>2383</v>
      </c>
      <c r="H59" s="1">
        <v>500</v>
      </c>
      <c r="I59" s="1">
        <v>1883</v>
      </c>
      <c r="J59" s="1">
        <v>1150</v>
      </c>
      <c r="K59" s="1">
        <v>4.3</v>
      </c>
      <c r="L59" s="4">
        <f>Table1[[#This Row],[Net Earnings]]-Table1[[#This Row],[Fuel Cost]]</f>
        <v>733</v>
      </c>
    </row>
    <row r="60" spans="1:12" ht="14.25" customHeight="1" x14ac:dyDescent="0.25">
      <c r="A60" s="3">
        <v>46153</v>
      </c>
      <c r="B60" s="1" t="s">
        <v>42</v>
      </c>
      <c r="C60" s="1" t="s">
        <v>43</v>
      </c>
      <c r="D60" s="1" t="s">
        <v>35</v>
      </c>
      <c r="E60" s="1" t="s">
        <v>20</v>
      </c>
      <c r="F60" s="1">
        <v>15</v>
      </c>
      <c r="G60" s="1">
        <v>4037</v>
      </c>
      <c r="H60" s="1">
        <v>810</v>
      </c>
      <c r="I60" s="1">
        <v>3227</v>
      </c>
      <c r="J60" s="1">
        <v>1160</v>
      </c>
      <c r="K60" s="1">
        <v>4.5999999999999996</v>
      </c>
      <c r="L60" s="4">
        <f>Table1[[#This Row],[Net Earnings]]-Table1[[#This Row],[Fuel Cost]]</f>
        <v>2067</v>
      </c>
    </row>
    <row r="61" spans="1:12" ht="14.25" customHeight="1" x14ac:dyDescent="0.25">
      <c r="A61" s="3">
        <v>46154</v>
      </c>
      <c r="B61" s="1" t="s">
        <v>45</v>
      </c>
      <c r="C61" s="1" t="s">
        <v>46</v>
      </c>
      <c r="D61" s="1" t="s">
        <v>13</v>
      </c>
      <c r="E61" s="1" t="s">
        <v>38</v>
      </c>
      <c r="F61" s="1">
        <v>23</v>
      </c>
      <c r="G61" s="1">
        <v>6457</v>
      </c>
      <c r="H61" s="1">
        <v>1360</v>
      </c>
      <c r="I61" s="1">
        <v>5097</v>
      </c>
      <c r="J61" s="1">
        <v>1390</v>
      </c>
      <c r="K61" s="1">
        <v>4.4000000000000004</v>
      </c>
      <c r="L61" s="4">
        <f>Table1[[#This Row],[Net Earnings]]-Table1[[#This Row],[Fuel Cost]]</f>
        <v>3707</v>
      </c>
    </row>
    <row r="62" spans="1:12" ht="14.25" customHeight="1" x14ac:dyDescent="0.25">
      <c r="A62" s="3">
        <v>46125</v>
      </c>
      <c r="B62" s="1" t="s">
        <v>11</v>
      </c>
      <c r="C62" s="1" t="s">
        <v>12</v>
      </c>
      <c r="D62" s="1" t="s">
        <v>14</v>
      </c>
      <c r="E62" s="1" t="s">
        <v>41</v>
      </c>
      <c r="F62" s="1">
        <v>24</v>
      </c>
      <c r="G62" s="1">
        <v>6288</v>
      </c>
      <c r="H62" s="1">
        <v>1130</v>
      </c>
      <c r="I62" s="1">
        <v>5158</v>
      </c>
      <c r="J62" s="1">
        <v>1520</v>
      </c>
      <c r="K62" s="1">
        <v>4.7</v>
      </c>
      <c r="L62" s="4">
        <f>Table1[[#This Row],[Net Earnings]]-Table1[[#This Row],[Fuel Cost]]</f>
        <v>3638</v>
      </c>
    </row>
    <row r="63" spans="1:12" ht="14.25" customHeight="1" x14ac:dyDescent="0.25">
      <c r="A63" s="3">
        <v>46126</v>
      </c>
      <c r="B63" s="1" t="s">
        <v>15</v>
      </c>
      <c r="C63" s="1" t="s">
        <v>16</v>
      </c>
      <c r="D63" s="1" t="s">
        <v>13</v>
      </c>
      <c r="E63" s="1" t="s">
        <v>44</v>
      </c>
      <c r="F63" s="1">
        <v>27</v>
      </c>
      <c r="G63" s="1">
        <v>6758</v>
      </c>
      <c r="H63" s="1">
        <v>1220</v>
      </c>
      <c r="I63" s="1">
        <v>5538</v>
      </c>
      <c r="J63" s="1">
        <v>1730</v>
      </c>
      <c r="K63" s="1">
        <v>4.5999999999999996</v>
      </c>
      <c r="L63" s="4">
        <f>Table1[[#This Row],[Net Earnings]]-Table1[[#This Row],[Fuel Cost]]</f>
        <v>3808</v>
      </c>
    </row>
    <row r="64" spans="1:12" ht="14.25" customHeight="1" x14ac:dyDescent="0.25">
      <c r="A64" s="3">
        <v>46127</v>
      </c>
      <c r="B64" s="1" t="s">
        <v>18</v>
      </c>
      <c r="C64" s="1" t="s">
        <v>19</v>
      </c>
      <c r="D64" s="1" t="s">
        <v>20</v>
      </c>
      <c r="E64" s="1" t="s">
        <v>47</v>
      </c>
      <c r="F64" s="1">
        <v>22</v>
      </c>
      <c r="G64" s="1">
        <v>5961</v>
      </c>
      <c r="H64" s="1">
        <v>1250</v>
      </c>
      <c r="I64" s="1">
        <v>4711</v>
      </c>
      <c r="J64" s="1">
        <v>1450</v>
      </c>
      <c r="K64" s="1">
        <v>4.8</v>
      </c>
      <c r="L64" s="4">
        <f>Table1[[#This Row],[Net Earnings]]-Table1[[#This Row],[Fuel Cost]]</f>
        <v>3261</v>
      </c>
    </row>
    <row r="65" spans="1:12" ht="14.25" customHeight="1" x14ac:dyDescent="0.25">
      <c r="A65" s="3">
        <v>46128</v>
      </c>
      <c r="B65" s="1" t="s">
        <v>21</v>
      </c>
      <c r="C65" s="1" t="s">
        <v>22</v>
      </c>
      <c r="D65" s="1" t="s">
        <v>14</v>
      </c>
      <c r="E65" s="1" t="s">
        <v>13</v>
      </c>
      <c r="F65" s="1">
        <v>11</v>
      </c>
      <c r="G65" s="1">
        <v>2764</v>
      </c>
      <c r="H65" s="1">
        <v>580</v>
      </c>
      <c r="I65" s="1">
        <v>2184</v>
      </c>
      <c r="J65" s="1">
        <v>1190</v>
      </c>
      <c r="K65" s="1">
        <v>4.8</v>
      </c>
      <c r="L65" s="4">
        <f>Table1[[#This Row],[Net Earnings]]-Table1[[#This Row],[Fuel Cost]]</f>
        <v>994</v>
      </c>
    </row>
    <row r="66" spans="1:12" ht="14.25" customHeight="1" x14ac:dyDescent="0.25">
      <c r="A66" s="3">
        <v>46129</v>
      </c>
      <c r="B66" s="1" t="s">
        <v>24</v>
      </c>
      <c r="C66" s="1" t="s">
        <v>25</v>
      </c>
      <c r="D66" s="1" t="s">
        <v>20</v>
      </c>
      <c r="E66" s="1" t="s">
        <v>48</v>
      </c>
      <c r="F66" s="1">
        <v>27</v>
      </c>
      <c r="G66" s="1">
        <v>6313</v>
      </c>
      <c r="H66" s="1">
        <v>1200</v>
      </c>
      <c r="I66" s="1">
        <v>5113</v>
      </c>
      <c r="J66" s="1">
        <v>1480</v>
      </c>
      <c r="K66" s="1">
        <v>4.7</v>
      </c>
      <c r="L66" s="4">
        <f>Table1[[#This Row],[Net Earnings]]-Table1[[#This Row],[Fuel Cost]]</f>
        <v>3633</v>
      </c>
    </row>
    <row r="67" spans="1:12" ht="14.25" customHeight="1" x14ac:dyDescent="0.25">
      <c r="A67" s="3">
        <v>46130</v>
      </c>
      <c r="B67" s="1" t="s">
        <v>27</v>
      </c>
      <c r="C67" s="1" t="s">
        <v>28</v>
      </c>
      <c r="D67" s="1" t="s">
        <v>13</v>
      </c>
      <c r="E67" s="1" t="s">
        <v>49</v>
      </c>
      <c r="F67" s="1">
        <v>26</v>
      </c>
      <c r="G67" s="1">
        <v>6869</v>
      </c>
      <c r="H67" s="1">
        <v>1240</v>
      </c>
      <c r="I67" s="1">
        <v>5629</v>
      </c>
      <c r="J67" s="1">
        <v>1670</v>
      </c>
      <c r="K67" s="1">
        <v>4.5999999999999996</v>
      </c>
      <c r="L67" s="4">
        <f>Table1[[#This Row],[Net Earnings]]-Table1[[#This Row],[Fuel Cost]]</f>
        <v>3959</v>
      </c>
    </row>
    <row r="68" spans="1:12" ht="14.25" customHeight="1" x14ac:dyDescent="0.25">
      <c r="A68" s="3">
        <v>46131</v>
      </c>
      <c r="B68" s="1" t="s">
        <v>30</v>
      </c>
      <c r="C68" s="1" t="s">
        <v>31</v>
      </c>
      <c r="D68" s="1" t="s">
        <v>14</v>
      </c>
      <c r="E68" s="1" t="s">
        <v>50</v>
      </c>
      <c r="F68" s="1">
        <v>23</v>
      </c>
      <c r="G68" s="1">
        <v>5709</v>
      </c>
      <c r="H68" s="1">
        <v>1200</v>
      </c>
      <c r="I68" s="1">
        <v>4509</v>
      </c>
      <c r="J68" s="1">
        <v>1520</v>
      </c>
      <c r="K68" s="1">
        <v>4.9000000000000004</v>
      </c>
      <c r="L68" s="4">
        <f>Table1[[#This Row],[Net Earnings]]-Table1[[#This Row],[Fuel Cost]]</f>
        <v>2989</v>
      </c>
    </row>
    <row r="69" spans="1:12" ht="14.25" customHeight="1" x14ac:dyDescent="0.25">
      <c r="A69" s="3">
        <v>46132</v>
      </c>
      <c r="B69" s="1" t="s">
        <v>33</v>
      </c>
      <c r="C69" s="1" t="s">
        <v>34</v>
      </c>
      <c r="D69" s="1" t="s">
        <v>13</v>
      </c>
      <c r="E69" s="1" t="s">
        <v>51</v>
      </c>
      <c r="F69" s="1">
        <v>20</v>
      </c>
      <c r="G69" s="1">
        <v>5373</v>
      </c>
      <c r="H69" s="1">
        <v>970</v>
      </c>
      <c r="I69" s="1">
        <v>4403</v>
      </c>
      <c r="J69" s="1">
        <v>1450</v>
      </c>
      <c r="K69" s="1">
        <v>4.7</v>
      </c>
      <c r="L69" s="4">
        <f>Table1[[#This Row],[Net Earnings]]-Table1[[#This Row],[Fuel Cost]]</f>
        <v>2953</v>
      </c>
    </row>
    <row r="70" spans="1:12" ht="14.25" customHeight="1" x14ac:dyDescent="0.25">
      <c r="A70" s="3">
        <v>46133</v>
      </c>
      <c r="B70" s="1" t="s">
        <v>36</v>
      </c>
      <c r="C70" s="1" t="s">
        <v>37</v>
      </c>
      <c r="D70" s="1" t="s">
        <v>13</v>
      </c>
      <c r="E70" s="1" t="s">
        <v>14</v>
      </c>
      <c r="F70" s="1">
        <v>26</v>
      </c>
      <c r="G70" s="1">
        <v>6651</v>
      </c>
      <c r="H70" s="1">
        <v>1200</v>
      </c>
      <c r="I70" s="1">
        <v>5451</v>
      </c>
      <c r="J70" s="1">
        <v>1700</v>
      </c>
      <c r="K70" s="1">
        <v>4.5</v>
      </c>
      <c r="L70" s="4">
        <f>Table1[[#This Row],[Net Earnings]]-Table1[[#This Row],[Fuel Cost]]</f>
        <v>3751</v>
      </c>
    </row>
    <row r="71" spans="1:12" ht="14.25" customHeight="1" x14ac:dyDescent="0.25">
      <c r="A71" s="3">
        <v>46134</v>
      </c>
      <c r="B71" s="1" t="s">
        <v>39</v>
      </c>
      <c r="C71" s="1" t="s">
        <v>40</v>
      </c>
      <c r="D71" s="1" t="s">
        <v>13</v>
      </c>
      <c r="E71" s="1" t="s">
        <v>17</v>
      </c>
      <c r="F71" s="1">
        <v>13</v>
      </c>
      <c r="G71" s="1">
        <v>3058</v>
      </c>
      <c r="H71" s="1">
        <v>550</v>
      </c>
      <c r="I71" s="1">
        <v>2508</v>
      </c>
      <c r="J71" s="1">
        <v>1090</v>
      </c>
      <c r="K71" s="1">
        <v>4.7</v>
      </c>
      <c r="L71" s="4">
        <f>Table1[[#This Row],[Net Earnings]]-Table1[[#This Row],[Fuel Cost]]</f>
        <v>1418</v>
      </c>
    </row>
    <row r="72" spans="1:12" ht="14.25" customHeight="1" x14ac:dyDescent="0.25">
      <c r="A72" s="3">
        <v>46135</v>
      </c>
      <c r="B72" s="1" t="s">
        <v>42</v>
      </c>
      <c r="C72" s="1" t="s">
        <v>43</v>
      </c>
      <c r="D72" s="1" t="s">
        <v>20</v>
      </c>
      <c r="E72" s="1" t="s">
        <v>13</v>
      </c>
      <c r="F72" s="1">
        <v>10</v>
      </c>
      <c r="G72" s="1">
        <v>2412</v>
      </c>
      <c r="H72" s="1">
        <v>510</v>
      </c>
      <c r="I72" s="1">
        <v>1902</v>
      </c>
      <c r="J72" s="1">
        <v>920</v>
      </c>
      <c r="K72" s="1">
        <v>4.5</v>
      </c>
      <c r="L72" s="4">
        <f>Table1[[#This Row],[Net Earnings]]-Table1[[#This Row],[Fuel Cost]]</f>
        <v>982</v>
      </c>
    </row>
    <row r="73" spans="1:12" ht="14.25" customHeight="1" x14ac:dyDescent="0.25">
      <c r="A73" s="3">
        <v>46136</v>
      </c>
      <c r="B73" s="1" t="s">
        <v>45</v>
      </c>
      <c r="C73" s="1" t="s">
        <v>46</v>
      </c>
      <c r="D73" s="1" t="s">
        <v>20</v>
      </c>
      <c r="E73" s="1" t="s">
        <v>23</v>
      </c>
      <c r="F73" s="1">
        <v>16</v>
      </c>
      <c r="G73" s="1">
        <v>4564</v>
      </c>
      <c r="H73" s="1">
        <v>820</v>
      </c>
      <c r="I73" s="1">
        <v>3744</v>
      </c>
      <c r="J73" s="1">
        <v>1270</v>
      </c>
      <c r="K73" s="1">
        <v>4.5999999999999996</v>
      </c>
      <c r="L73" s="4">
        <f>Table1[[#This Row],[Net Earnings]]-Table1[[#This Row],[Fuel Cost]]</f>
        <v>2474</v>
      </c>
    </row>
    <row r="74" spans="1:12" ht="14.25" customHeight="1" x14ac:dyDescent="0.25">
      <c r="A74" s="3">
        <v>46137</v>
      </c>
      <c r="B74" s="1" t="s">
        <v>11</v>
      </c>
      <c r="C74" s="1" t="s">
        <v>12</v>
      </c>
      <c r="D74" s="1" t="s">
        <v>20</v>
      </c>
      <c r="E74" s="1" t="s">
        <v>26</v>
      </c>
      <c r="F74" s="1">
        <v>17</v>
      </c>
      <c r="G74" s="1">
        <v>3763</v>
      </c>
      <c r="H74" s="1">
        <v>680</v>
      </c>
      <c r="I74" s="1">
        <v>3083</v>
      </c>
      <c r="J74" s="1">
        <v>1180</v>
      </c>
      <c r="K74" s="1">
        <v>4.7</v>
      </c>
      <c r="L74" s="4">
        <f>Table1[[#This Row],[Net Earnings]]-Table1[[#This Row],[Fuel Cost]]</f>
        <v>1903</v>
      </c>
    </row>
    <row r="75" spans="1:12" ht="14.25" customHeight="1" x14ac:dyDescent="0.25">
      <c r="A75" s="3">
        <v>46138</v>
      </c>
      <c r="B75" s="1" t="s">
        <v>15</v>
      </c>
      <c r="C75" s="1" t="s">
        <v>16</v>
      </c>
      <c r="D75" s="1" t="s">
        <v>20</v>
      </c>
      <c r="E75" s="1" t="s">
        <v>29</v>
      </c>
      <c r="F75" s="1">
        <v>26</v>
      </c>
      <c r="G75" s="1">
        <v>6863</v>
      </c>
      <c r="H75" s="1">
        <v>1510</v>
      </c>
      <c r="I75" s="1">
        <v>5353</v>
      </c>
      <c r="J75" s="1">
        <v>1620</v>
      </c>
      <c r="K75" s="1">
        <v>4.7</v>
      </c>
      <c r="L75" s="4">
        <f>Table1[[#This Row],[Net Earnings]]-Table1[[#This Row],[Fuel Cost]]</f>
        <v>3733</v>
      </c>
    </row>
    <row r="76" spans="1:12" ht="14.25" customHeight="1" x14ac:dyDescent="0.25">
      <c r="A76" s="3">
        <v>46139</v>
      </c>
      <c r="B76" s="1" t="s">
        <v>18</v>
      </c>
      <c r="C76" s="1" t="s">
        <v>19</v>
      </c>
      <c r="D76" s="1" t="s">
        <v>14</v>
      </c>
      <c r="E76" s="1" t="s">
        <v>32</v>
      </c>
      <c r="F76" s="1">
        <v>18</v>
      </c>
      <c r="G76" s="1">
        <v>4852</v>
      </c>
      <c r="H76" s="1">
        <v>1070</v>
      </c>
      <c r="I76" s="1">
        <v>3782</v>
      </c>
      <c r="J76" s="1">
        <v>1140</v>
      </c>
      <c r="K76" s="1">
        <v>4.8</v>
      </c>
      <c r="L76" s="4">
        <f>Table1[[#This Row],[Net Earnings]]-Table1[[#This Row],[Fuel Cost]]</f>
        <v>2642</v>
      </c>
    </row>
    <row r="77" spans="1:12" ht="14.25" customHeight="1" x14ac:dyDescent="0.25">
      <c r="A77" s="3">
        <v>46140</v>
      </c>
      <c r="B77" s="1" t="s">
        <v>21</v>
      </c>
      <c r="C77" s="1" t="s">
        <v>22</v>
      </c>
      <c r="D77" s="1" t="s">
        <v>35</v>
      </c>
      <c r="E77" s="1" t="s">
        <v>20</v>
      </c>
      <c r="F77" s="1">
        <v>27</v>
      </c>
      <c r="G77" s="1">
        <v>5554</v>
      </c>
      <c r="H77" s="1">
        <v>1000</v>
      </c>
      <c r="I77" s="1">
        <v>4554</v>
      </c>
      <c r="J77" s="1">
        <v>1800</v>
      </c>
      <c r="K77" s="1">
        <v>4.3</v>
      </c>
      <c r="L77" s="4">
        <f>Table1[[#This Row],[Net Earnings]]-Table1[[#This Row],[Fuel Cost]]</f>
        <v>2754</v>
      </c>
    </row>
    <row r="78" spans="1:12" ht="14.25" customHeight="1" x14ac:dyDescent="0.25">
      <c r="A78" s="3">
        <v>46141</v>
      </c>
      <c r="B78" s="1" t="s">
        <v>24</v>
      </c>
      <c r="C78" s="1" t="s">
        <v>25</v>
      </c>
      <c r="D78" s="1" t="s">
        <v>13</v>
      </c>
      <c r="E78" s="1" t="s">
        <v>38</v>
      </c>
      <c r="F78" s="1">
        <v>16</v>
      </c>
      <c r="G78" s="1">
        <v>3605</v>
      </c>
      <c r="H78" s="1">
        <v>680</v>
      </c>
      <c r="I78" s="1">
        <v>2925</v>
      </c>
      <c r="J78" s="1">
        <v>1240</v>
      </c>
      <c r="K78" s="1">
        <v>4.4000000000000004</v>
      </c>
      <c r="L78" s="4">
        <f>Table1[[#This Row],[Net Earnings]]-Table1[[#This Row],[Fuel Cost]]</f>
        <v>1685</v>
      </c>
    </row>
    <row r="79" spans="1:12" ht="14.25" customHeight="1" x14ac:dyDescent="0.25">
      <c r="A79" s="3">
        <v>46142</v>
      </c>
      <c r="B79" s="1" t="s">
        <v>27</v>
      </c>
      <c r="C79" s="1" t="s">
        <v>28</v>
      </c>
      <c r="D79" s="1" t="s">
        <v>14</v>
      </c>
      <c r="E79" s="1" t="s">
        <v>41</v>
      </c>
      <c r="F79" s="1">
        <v>19</v>
      </c>
      <c r="G79" s="1">
        <v>4172</v>
      </c>
      <c r="H79" s="1">
        <v>790</v>
      </c>
      <c r="I79" s="1">
        <v>3382</v>
      </c>
      <c r="J79" s="1">
        <v>1440</v>
      </c>
      <c r="K79" s="1">
        <v>4.9000000000000004</v>
      </c>
      <c r="L79" s="4">
        <f>Table1[[#This Row],[Net Earnings]]-Table1[[#This Row],[Fuel Cost]]</f>
        <v>1942</v>
      </c>
    </row>
    <row r="80" spans="1:12" ht="14.25" customHeight="1" x14ac:dyDescent="0.25">
      <c r="A80" s="3">
        <v>46143</v>
      </c>
      <c r="B80" s="1" t="s">
        <v>30</v>
      </c>
      <c r="C80" s="1" t="s">
        <v>31</v>
      </c>
      <c r="D80" s="1" t="s">
        <v>13</v>
      </c>
      <c r="E80" s="1" t="s">
        <v>44</v>
      </c>
      <c r="F80" s="1">
        <v>24</v>
      </c>
      <c r="G80" s="1">
        <v>5843</v>
      </c>
      <c r="H80" s="1">
        <v>1110</v>
      </c>
      <c r="I80" s="1">
        <v>4733</v>
      </c>
      <c r="J80" s="1">
        <v>1630</v>
      </c>
      <c r="K80" s="1">
        <v>4.5</v>
      </c>
      <c r="L80" s="4">
        <f>Table1[[#This Row],[Net Earnings]]-Table1[[#This Row],[Fuel Cost]]</f>
        <v>3103</v>
      </c>
    </row>
    <row r="81" spans="1:12" ht="14.25" customHeight="1" x14ac:dyDescent="0.25">
      <c r="A81" s="3">
        <v>46144</v>
      </c>
      <c r="B81" s="1" t="s">
        <v>33</v>
      </c>
      <c r="C81" s="1" t="s">
        <v>34</v>
      </c>
      <c r="D81" s="1" t="s">
        <v>20</v>
      </c>
      <c r="E81" s="1" t="s">
        <v>47</v>
      </c>
      <c r="F81" s="1">
        <v>13</v>
      </c>
      <c r="G81" s="1">
        <v>2935</v>
      </c>
      <c r="H81" s="1">
        <v>620</v>
      </c>
      <c r="I81" s="1">
        <v>2315</v>
      </c>
      <c r="J81" s="1">
        <v>1140</v>
      </c>
      <c r="K81" s="1">
        <v>4.5</v>
      </c>
      <c r="L81" s="4">
        <f>Table1[[#This Row],[Net Earnings]]-Table1[[#This Row],[Fuel Cost]]</f>
        <v>1175</v>
      </c>
    </row>
    <row r="82" spans="1:12" ht="14.25" customHeight="1" x14ac:dyDescent="0.25">
      <c r="A82" s="3">
        <v>46145</v>
      </c>
      <c r="B82" s="1" t="s">
        <v>36</v>
      </c>
      <c r="C82" s="1" t="s">
        <v>37</v>
      </c>
      <c r="D82" s="1" t="s">
        <v>14</v>
      </c>
      <c r="E82" s="1" t="s">
        <v>13</v>
      </c>
      <c r="F82" s="1">
        <v>20</v>
      </c>
      <c r="G82" s="1">
        <v>5264</v>
      </c>
      <c r="H82" s="1">
        <v>1160</v>
      </c>
      <c r="I82" s="1">
        <v>4104</v>
      </c>
      <c r="J82" s="1">
        <v>1540</v>
      </c>
      <c r="K82" s="1">
        <v>4.5</v>
      </c>
      <c r="L82" s="4">
        <f>Table1[[#This Row],[Net Earnings]]-Table1[[#This Row],[Fuel Cost]]</f>
        <v>2564</v>
      </c>
    </row>
    <row r="83" spans="1:12" ht="14.25" customHeight="1" x14ac:dyDescent="0.25">
      <c r="A83" s="3">
        <v>46146</v>
      </c>
      <c r="B83" s="1" t="s">
        <v>39</v>
      </c>
      <c r="C83" s="1" t="s">
        <v>40</v>
      </c>
      <c r="D83" s="1" t="s">
        <v>20</v>
      </c>
      <c r="E83" s="1" t="s">
        <v>48</v>
      </c>
      <c r="F83" s="1">
        <v>13</v>
      </c>
      <c r="G83" s="1">
        <v>2756</v>
      </c>
      <c r="H83" s="1">
        <v>500</v>
      </c>
      <c r="I83" s="1">
        <v>2256</v>
      </c>
      <c r="J83" s="1">
        <v>1160</v>
      </c>
      <c r="K83" s="1">
        <v>4.7</v>
      </c>
      <c r="L83" s="4">
        <f>Table1[[#This Row],[Net Earnings]]-Table1[[#This Row],[Fuel Cost]]</f>
        <v>1096</v>
      </c>
    </row>
    <row r="84" spans="1:12" ht="14.25" customHeight="1" x14ac:dyDescent="0.25">
      <c r="A84" s="3">
        <v>46147</v>
      </c>
      <c r="B84" s="1" t="s">
        <v>42</v>
      </c>
      <c r="C84" s="1" t="s">
        <v>43</v>
      </c>
      <c r="D84" s="1" t="s">
        <v>13</v>
      </c>
      <c r="E84" s="1" t="s">
        <v>49</v>
      </c>
      <c r="F84" s="1">
        <v>25</v>
      </c>
      <c r="G84" s="1">
        <v>5928</v>
      </c>
      <c r="H84" s="1">
        <v>1190</v>
      </c>
      <c r="I84" s="1">
        <v>4738</v>
      </c>
      <c r="J84" s="1">
        <v>1510</v>
      </c>
      <c r="K84" s="1">
        <v>4.5</v>
      </c>
      <c r="L84" s="4">
        <f>Table1[[#This Row],[Net Earnings]]-Table1[[#This Row],[Fuel Cost]]</f>
        <v>3228</v>
      </c>
    </row>
    <row r="85" spans="1:12" ht="14.25" customHeight="1" x14ac:dyDescent="0.25">
      <c r="A85" s="3">
        <v>46148</v>
      </c>
      <c r="B85" s="1" t="s">
        <v>45</v>
      </c>
      <c r="C85" s="1" t="s">
        <v>46</v>
      </c>
      <c r="D85" s="1" t="s">
        <v>14</v>
      </c>
      <c r="E85" s="1" t="s">
        <v>50</v>
      </c>
      <c r="F85" s="1">
        <v>23</v>
      </c>
      <c r="G85" s="1">
        <v>6430</v>
      </c>
      <c r="H85" s="1">
        <v>1160</v>
      </c>
      <c r="I85" s="1">
        <v>5270</v>
      </c>
      <c r="J85" s="1">
        <v>1510</v>
      </c>
      <c r="K85" s="1">
        <v>4.9000000000000004</v>
      </c>
      <c r="L85" s="4">
        <f>Table1[[#This Row],[Net Earnings]]-Table1[[#This Row],[Fuel Cost]]</f>
        <v>3760</v>
      </c>
    </row>
    <row r="86" spans="1:12" ht="14.25" customHeight="1" x14ac:dyDescent="0.25">
      <c r="A86" s="3">
        <v>46149</v>
      </c>
      <c r="B86" s="1" t="s">
        <v>11</v>
      </c>
      <c r="C86" s="1" t="s">
        <v>12</v>
      </c>
      <c r="D86" s="1" t="s">
        <v>13</v>
      </c>
      <c r="E86" s="1" t="s">
        <v>51</v>
      </c>
      <c r="F86" s="1">
        <v>11</v>
      </c>
      <c r="G86" s="1">
        <v>2516</v>
      </c>
      <c r="H86" s="1">
        <v>550</v>
      </c>
      <c r="I86" s="1">
        <v>1966</v>
      </c>
      <c r="J86" s="1">
        <v>1080</v>
      </c>
      <c r="K86" s="1">
        <v>4.3</v>
      </c>
      <c r="L86" s="4">
        <f>Table1[[#This Row],[Net Earnings]]-Table1[[#This Row],[Fuel Cost]]</f>
        <v>886</v>
      </c>
    </row>
    <row r="87" spans="1:12" ht="14.25" customHeight="1" x14ac:dyDescent="0.25">
      <c r="A87" s="3">
        <v>46150</v>
      </c>
      <c r="B87" s="1" t="s">
        <v>15</v>
      </c>
      <c r="C87" s="1" t="s">
        <v>16</v>
      </c>
      <c r="D87" s="1" t="s">
        <v>13</v>
      </c>
      <c r="E87" s="1" t="s">
        <v>14</v>
      </c>
      <c r="F87" s="1">
        <v>11</v>
      </c>
      <c r="G87" s="1">
        <v>2779</v>
      </c>
      <c r="H87" s="1">
        <v>500</v>
      </c>
      <c r="I87" s="1">
        <v>2279</v>
      </c>
      <c r="J87" s="1">
        <v>1190</v>
      </c>
      <c r="K87" s="1">
        <v>4.7</v>
      </c>
      <c r="L87" s="4">
        <f>Table1[[#This Row],[Net Earnings]]-Table1[[#This Row],[Fuel Cost]]</f>
        <v>1089</v>
      </c>
    </row>
    <row r="88" spans="1:12" ht="14.25" customHeight="1" x14ac:dyDescent="0.25">
      <c r="A88" s="3">
        <v>46151</v>
      </c>
      <c r="B88" s="1" t="s">
        <v>18</v>
      </c>
      <c r="C88" s="1" t="s">
        <v>19</v>
      </c>
      <c r="D88" s="1" t="s">
        <v>13</v>
      </c>
      <c r="E88" s="1" t="s">
        <v>17</v>
      </c>
      <c r="F88" s="1">
        <v>20</v>
      </c>
      <c r="G88" s="1">
        <v>5115</v>
      </c>
      <c r="H88" s="1">
        <v>1020</v>
      </c>
      <c r="I88" s="1">
        <v>4095</v>
      </c>
      <c r="J88" s="1">
        <v>1320</v>
      </c>
      <c r="K88" s="1">
        <v>4.7</v>
      </c>
      <c r="L88" s="4">
        <f>Table1[[#This Row],[Net Earnings]]-Table1[[#This Row],[Fuel Cost]]</f>
        <v>2775</v>
      </c>
    </row>
    <row r="89" spans="1:12" ht="14.25" customHeight="1" x14ac:dyDescent="0.25">
      <c r="A89" s="3">
        <v>46152</v>
      </c>
      <c r="B89" s="1" t="s">
        <v>21</v>
      </c>
      <c r="C89" s="1" t="s">
        <v>22</v>
      </c>
      <c r="D89" s="1" t="s">
        <v>20</v>
      </c>
      <c r="E89" s="1" t="s">
        <v>13</v>
      </c>
      <c r="F89" s="1">
        <v>13</v>
      </c>
      <c r="G89" s="1">
        <v>3358</v>
      </c>
      <c r="H89" s="1">
        <v>640</v>
      </c>
      <c r="I89" s="1">
        <v>2718</v>
      </c>
      <c r="J89" s="1">
        <v>1120</v>
      </c>
      <c r="K89" s="1">
        <v>4.4000000000000004</v>
      </c>
      <c r="L89" s="4">
        <f>Table1[[#This Row],[Net Earnings]]-Table1[[#This Row],[Fuel Cost]]</f>
        <v>1598</v>
      </c>
    </row>
    <row r="90" spans="1:12" ht="14.25" customHeight="1" x14ac:dyDescent="0.25">
      <c r="A90" s="3">
        <v>46153</v>
      </c>
      <c r="B90" s="1" t="s">
        <v>24</v>
      </c>
      <c r="C90" s="1" t="s">
        <v>25</v>
      </c>
      <c r="D90" s="1" t="s">
        <v>20</v>
      </c>
      <c r="E90" s="1" t="s">
        <v>23</v>
      </c>
      <c r="F90" s="1">
        <v>13</v>
      </c>
      <c r="G90" s="1">
        <v>2586</v>
      </c>
      <c r="H90" s="1">
        <v>490</v>
      </c>
      <c r="I90" s="1">
        <v>2096</v>
      </c>
      <c r="J90" s="1">
        <v>1220</v>
      </c>
      <c r="K90" s="1">
        <v>4.5999999999999996</v>
      </c>
      <c r="L90" s="4">
        <f>Table1[[#This Row],[Net Earnings]]-Table1[[#This Row],[Fuel Cost]]</f>
        <v>876</v>
      </c>
    </row>
    <row r="91" spans="1:12" ht="14.25" customHeight="1" x14ac:dyDescent="0.25">
      <c r="A91" s="3">
        <v>46154</v>
      </c>
      <c r="B91" s="1" t="s">
        <v>27</v>
      </c>
      <c r="C91" s="1" t="s">
        <v>28</v>
      </c>
      <c r="D91" s="1" t="s">
        <v>20</v>
      </c>
      <c r="E91" s="1" t="s">
        <v>26</v>
      </c>
      <c r="F91" s="1">
        <v>11</v>
      </c>
      <c r="G91" s="1">
        <v>2213</v>
      </c>
      <c r="H91" s="1">
        <v>490</v>
      </c>
      <c r="I91" s="1">
        <v>1723</v>
      </c>
      <c r="J91" s="1">
        <v>1020</v>
      </c>
      <c r="K91" s="1">
        <v>4.5</v>
      </c>
      <c r="L91" s="4">
        <f>Table1[[#This Row],[Net Earnings]]-Table1[[#This Row],[Fuel Cost]]</f>
        <v>703</v>
      </c>
    </row>
    <row r="92" spans="1:12" ht="14.25" customHeight="1" x14ac:dyDescent="0.25">
      <c r="A92" s="3">
        <v>46125</v>
      </c>
      <c r="B92" s="1" t="s">
        <v>30</v>
      </c>
      <c r="C92" s="1" t="s">
        <v>31</v>
      </c>
      <c r="D92" s="1" t="s">
        <v>20</v>
      </c>
      <c r="E92" s="1" t="s">
        <v>29</v>
      </c>
      <c r="F92" s="1">
        <v>22</v>
      </c>
      <c r="G92" s="1">
        <v>4443</v>
      </c>
      <c r="H92" s="1">
        <v>890</v>
      </c>
      <c r="I92" s="1">
        <v>3553</v>
      </c>
      <c r="J92" s="1">
        <v>1390</v>
      </c>
      <c r="K92" s="1">
        <v>4.5999999999999996</v>
      </c>
      <c r="L92" s="4">
        <f>Table1[[#This Row],[Net Earnings]]-Table1[[#This Row],[Fuel Cost]]</f>
        <v>2163</v>
      </c>
    </row>
    <row r="93" spans="1:12" ht="14.25" customHeight="1" x14ac:dyDescent="0.25">
      <c r="A93" s="3">
        <v>46126</v>
      </c>
      <c r="B93" s="1" t="s">
        <v>33</v>
      </c>
      <c r="C93" s="1" t="s">
        <v>34</v>
      </c>
      <c r="D93" s="1" t="s">
        <v>14</v>
      </c>
      <c r="E93" s="1" t="s">
        <v>32</v>
      </c>
      <c r="F93" s="1">
        <v>23</v>
      </c>
      <c r="G93" s="1">
        <v>5664</v>
      </c>
      <c r="H93" s="1">
        <v>1190</v>
      </c>
      <c r="I93" s="1">
        <v>4474</v>
      </c>
      <c r="J93" s="1">
        <v>1540</v>
      </c>
      <c r="K93" s="1">
        <v>4.3</v>
      </c>
      <c r="L93" s="4">
        <f>Table1[[#This Row],[Net Earnings]]-Table1[[#This Row],[Fuel Cost]]</f>
        <v>2934</v>
      </c>
    </row>
    <row r="94" spans="1:12" ht="14.25" customHeight="1" x14ac:dyDescent="0.25">
      <c r="A94" s="3">
        <v>46127</v>
      </c>
      <c r="B94" s="1" t="s">
        <v>36</v>
      </c>
      <c r="C94" s="1" t="s">
        <v>37</v>
      </c>
      <c r="D94" s="1" t="s">
        <v>35</v>
      </c>
      <c r="E94" s="1" t="s">
        <v>20</v>
      </c>
      <c r="F94" s="1">
        <v>24</v>
      </c>
      <c r="G94" s="1">
        <v>5267</v>
      </c>
      <c r="H94" s="1">
        <v>1160</v>
      </c>
      <c r="I94" s="1">
        <v>4107</v>
      </c>
      <c r="J94" s="1">
        <v>1530</v>
      </c>
      <c r="K94" s="1">
        <v>4.5999999999999996</v>
      </c>
      <c r="L94" s="4">
        <f>Table1[[#This Row],[Net Earnings]]-Table1[[#This Row],[Fuel Cost]]</f>
        <v>2577</v>
      </c>
    </row>
    <row r="95" spans="1:12" ht="14.25" customHeight="1" x14ac:dyDescent="0.25">
      <c r="A95" s="3">
        <v>46128</v>
      </c>
      <c r="B95" s="1" t="s">
        <v>39</v>
      </c>
      <c r="C95" s="1" t="s">
        <v>40</v>
      </c>
      <c r="D95" s="1" t="s">
        <v>13</v>
      </c>
      <c r="E95" s="1" t="s">
        <v>38</v>
      </c>
      <c r="F95" s="1">
        <v>13</v>
      </c>
      <c r="G95" s="1">
        <v>3199</v>
      </c>
      <c r="H95" s="1">
        <v>670</v>
      </c>
      <c r="I95" s="1">
        <v>2529</v>
      </c>
      <c r="J95" s="1">
        <v>1200</v>
      </c>
      <c r="K95" s="1">
        <v>4.8</v>
      </c>
      <c r="L95" s="4">
        <f>Table1[[#This Row],[Net Earnings]]-Table1[[#This Row],[Fuel Cost]]</f>
        <v>1329</v>
      </c>
    </row>
    <row r="96" spans="1:12" ht="14.25" customHeight="1" x14ac:dyDescent="0.25">
      <c r="A96" s="3">
        <v>46129</v>
      </c>
      <c r="B96" s="1" t="s">
        <v>42</v>
      </c>
      <c r="C96" s="1" t="s">
        <v>43</v>
      </c>
      <c r="D96" s="1" t="s">
        <v>14</v>
      </c>
      <c r="E96" s="1" t="s">
        <v>41</v>
      </c>
      <c r="F96" s="1">
        <v>23</v>
      </c>
      <c r="G96" s="1">
        <v>4736</v>
      </c>
      <c r="H96" s="1">
        <v>850</v>
      </c>
      <c r="I96" s="1">
        <v>3886</v>
      </c>
      <c r="J96" s="1">
        <v>1400</v>
      </c>
      <c r="K96" s="1">
        <v>4.7</v>
      </c>
      <c r="L96" s="4">
        <f>Table1[[#This Row],[Net Earnings]]-Table1[[#This Row],[Fuel Cost]]</f>
        <v>2486</v>
      </c>
    </row>
    <row r="97" spans="1:12" ht="14.25" customHeight="1" x14ac:dyDescent="0.25">
      <c r="A97" s="3">
        <v>46130</v>
      </c>
      <c r="B97" s="1" t="s">
        <v>45</v>
      </c>
      <c r="C97" s="1" t="s">
        <v>46</v>
      </c>
      <c r="D97" s="1" t="s">
        <v>13</v>
      </c>
      <c r="E97" s="1" t="s">
        <v>44</v>
      </c>
      <c r="F97" s="1">
        <v>21</v>
      </c>
      <c r="G97" s="1">
        <v>5791</v>
      </c>
      <c r="H97" s="1">
        <v>1270</v>
      </c>
      <c r="I97" s="1">
        <v>4521</v>
      </c>
      <c r="J97" s="1">
        <v>1420</v>
      </c>
      <c r="K97" s="1">
        <v>4.7</v>
      </c>
      <c r="L97" s="4">
        <f>Table1[[#This Row],[Net Earnings]]-Table1[[#This Row],[Fuel Cost]]</f>
        <v>3101</v>
      </c>
    </row>
    <row r="98" spans="1:12" ht="14.25" customHeight="1" x14ac:dyDescent="0.25">
      <c r="A98" s="3">
        <v>46131</v>
      </c>
      <c r="B98" s="1" t="s">
        <v>11</v>
      </c>
      <c r="C98" s="1" t="s">
        <v>12</v>
      </c>
      <c r="D98" s="1" t="s">
        <v>20</v>
      </c>
      <c r="E98" s="1" t="s">
        <v>47</v>
      </c>
      <c r="F98" s="1">
        <v>15</v>
      </c>
      <c r="G98" s="1">
        <v>3633</v>
      </c>
      <c r="H98" s="1">
        <v>730</v>
      </c>
      <c r="I98" s="1">
        <v>2903</v>
      </c>
      <c r="J98" s="1">
        <v>1230</v>
      </c>
      <c r="K98" s="1">
        <v>4.7</v>
      </c>
      <c r="L98" s="4">
        <f>Table1[[#This Row],[Net Earnings]]-Table1[[#This Row],[Fuel Cost]]</f>
        <v>1673</v>
      </c>
    </row>
    <row r="99" spans="1:12" ht="14.25" customHeight="1" x14ac:dyDescent="0.25">
      <c r="A99" s="3">
        <v>46132</v>
      </c>
      <c r="B99" s="1" t="s">
        <v>15</v>
      </c>
      <c r="C99" s="1" t="s">
        <v>16</v>
      </c>
      <c r="D99" s="1" t="s">
        <v>14</v>
      </c>
      <c r="E99" s="1" t="s">
        <v>13</v>
      </c>
      <c r="F99" s="1">
        <v>14</v>
      </c>
      <c r="G99" s="1">
        <v>3599</v>
      </c>
      <c r="H99" s="1">
        <v>720</v>
      </c>
      <c r="I99" s="1">
        <v>2879</v>
      </c>
      <c r="J99" s="1">
        <v>1180</v>
      </c>
      <c r="K99" s="1">
        <v>4.8</v>
      </c>
      <c r="L99" s="4">
        <f>Table1[[#This Row],[Net Earnings]]-Table1[[#This Row],[Fuel Cost]]</f>
        <v>1699</v>
      </c>
    </row>
    <row r="100" spans="1:12" ht="14.25" customHeight="1" x14ac:dyDescent="0.25">
      <c r="A100" s="3">
        <v>46133</v>
      </c>
      <c r="B100" s="1" t="s">
        <v>18</v>
      </c>
      <c r="C100" s="1" t="s">
        <v>19</v>
      </c>
      <c r="D100" s="1" t="s">
        <v>20</v>
      </c>
      <c r="E100" s="1" t="s">
        <v>48</v>
      </c>
      <c r="F100" s="1">
        <v>10</v>
      </c>
      <c r="G100" s="1">
        <v>2327</v>
      </c>
      <c r="H100" s="1">
        <v>440</v>
      </c>
      <c r="I100" s="1">
        <v>1887</v>
      </c>
      <c r="J100" s="1">
        <v>960</v>
      </c>
      <c r="K100" s="1">
        <v>4.4000000000000004</v>
      </c>
      <c r="L100" s="4">
        <f>Table1[[#This Row],[Net Earnings]]-Table1[[#This Row],[Fuel Cost]]</f>
        <v>927</v>
      </c>
    </row>
    <row r="101" spans="1:12" ht="14.25" customHeight="1" x14ac:dyDescent="0.25">
      <c r="A101" s="3">
        <v>46134</v>
      </c>
      <c r="B101" s="1" t="s">
        <v>21</v>
      </c>
      <c r="C101" s="1" t="s">
        <v>22</v>
      </c>
      <c r="D101" s="1" t="s">
        <v>13</v>
      </c>
      <c r="E101" s="1" t="s">
        <v>49</v>
      </c>
      <c r="F101" s="1">
        <v>16</v>
      </c>
      <c r="G101" s="1">
        <v>4273</v>
      </c>
      <c r="H101" s="1">
        <v>850</v>
      </c>
      <c r="I101" s="1">
        <v>3423</v>
      </c>
      <c r="J101" s="1">
        <v>1250</v>
      </c>
      <c r="K101" s="1">
        <v>4.3</v>
      </c>
      <c r="L101" s="4">
        <f>Table1[[#This Row],[Net Earnings]]-Table1[[#This Row],[Fuel Cost]]</f>
        <v>2173</v>
      </c>
    </row>
    <row r="102" spans="1:12" ht="14.25" customHeight="1" x14ac:dyDescent="0.25">
      <c r="A102" s="3">
        <v>46185</v>
      </c>
      <c r="B102" s="1" t="s">
        <v>24</v>
      </c>
      <c r="C102" s="1" t="s">
        <v>25</v>
      </c>
      <c r="D102" s="1" t="s">
        <v>20</v>
      </c>
      <c r="E102" s="1" t="s">
        <v>13</v>
      </c>
      <c r="F102" s="1">
        <v>16</v>
      </c>
      <c r="G102" s="1">
        <v>4149</v>
      </c>
      <c r="H102" s="1">
        <v>910</v>
      </c>
      <c r="I102" s="1">
        <v>3239</v>
      </c>
      <c r="J102" s="1">
        <v>1180</v>
      </c>
      <c r="K102" s="1">
        <v>4.8</v>
      </c>
      <c r="L102" s="4">
        <f>Table1[[#This Row],[Net Earnings]]-Table1[[#This Row],[Fuel Cost]]</f>
        <v>2059</v>
      </c>
    </row>
    <row r="103" spans="1:12" ht="14.25" customHeight="1" x14ac:dyDescent="0.25">
      <c r="A103" s="3">
        <v>46186</v>
      </c>
      <c r="B103" s="1" t="s">
        <v>21</v>
      </c>
      <c r="C103" s="1" t="s">
        <v>22</v>
      </c>
      <c r="D103" s="1" t="s">
        <v>13</v>
      </c>
      <c r="E103" s="1" t="s">
        <v>44</v>
      </c>
      <c r="F103" s="1">
        <v>15</v>
      </c>
      <c r="G103" s="1">
        <v>4249</v>
      </c>
      <c r="H103" s="1">
        <v>760</v>
      </c>
      <c r="I103" s="1">
        <v>3489</v>
      </c>
      <c r="J103" s="1">
        <v>1350</v>
      </c>
      <c r="K103" s="1">
        <v>4.5</v>
      </c>
      <c r="L103" s="4">
        <f>Table1[[#This Row],[Net Earnings]]-Table1[[#This Row],[Fuel Cost]]</f>
        <v>2139</v>
      </c>
    </row>
    <row r="104" spans="1:12" ht="14.25" customHeight="1" x14ac:dyDescent="0.25">
      <c r="A104" s="3">
        <v>46187</v>
      </c>
      <c r="B104" s="1" t="s">
        <v>18</v>
      </c>
      <c r="C104" s="1" t="s">
        <v>19</v>
      </c>
      <c r="D104" s="1" t="s">
        <v>13</v>
      </c>
      <c r="E104" s="1" t="s">
        <v>17</v>
      </c>
      <c r="F104" s="1">
        <v>26</v>
      </c>
      <c r="G104" s="1">
        <v>6677</v>
      </c>
      <c r="H104" s="1">
        <v>1400</v>
      </c>
      <c r="I104" s="1">
        <v>5277</v>
      </c>
      <c r="J104" s="1">
        <v>1480</v>
      </c>
      <c r="K104" s="1">
        <v>4.5999999999999996</v>
      </c>
      <c r="L104" s="4">
        <f>Table1[[#This Row],[Net Earnings]]-Table1[[#This Row],[Fuel Cost]]</f>
        <v>3797</v>
      </c>
    </row>
    <row r="105" spans="1:12" ht="14.25" customHeight="1" x14ac:dyDescent="0.25">
      <c r="A105" s="3">
        <v>46188</v>
      </c>
      <c r="B105" s="1" t="s">
        <v>15</v>
      </c>
      <c r="C105" s="1" t="s">
        <v>16</v>
      </c>
      <c r="D105" s="1" t="s">
        <v>14</v>
      </c>
      <c r="E105" s="1" t="s">
        <v>41</v>
      </c>
      <c r="F105" s="1">
        <v>12</v>
      </c>
      <c r="G105" s="1">
        <v>2918</v>
      </c>
      <c r="H105" s="1">
        <v>640</v>
      </c>
      <c r="I105" s="1">
        <v>2278</v>
      </c>
      <c r="J105" s="1">
        <v>1150</v>
      </c>
      <c r="K105" s="1">
        <v>4.4000000000000004</v>
      </c>
      <c r="L105" s="4">
        <f>Table1[[#This Row],[Net Earnings]]-Table1[[#This Row],[Fuel Cost]]</f>
        <v>1128</v>
      </c>
    </row>
    <row r="106" spans="1:12" ht="14.25" customHeight="1" x14ac:dyDescent="0.25">
      <c r="A106" s="3">
        <v>46189</v>
      </c>
      <c r="B106" s="1" t="s">
        <v>11</v>
      </c>
      <c r="C106" s="1" t="s">
        <v>12</v>
      </c>
      <c r="D106" s="1" t="s">
        <v>13</v>
      </c>
      <c r="E106" s="1" t="s">
        <v>14</v>
      </c>
      <c r="F106" s="1">
        <v>13</v>
      </c>
      <c r="G106" s="1">
        <v>2769</v>
      </c>
      <c r="H106" s="1">
        <v>550</v>
      </c>
      <c r="I106" s="1">
        <v>2219</v>
      </c>
      <c r="J106" s="1">
        <v>1290</v>
      </c>
      <c r="K106" s="1">
        <v>4.5</v>
      </c>
      <c r="L106" s="4">
        <f>Table1[[#This Row],[Net Earnings]]-Table1[[#This Row],[Fuel Cost]]</f>
        <v>929</v>
      </c>
    </row>
    <row r="107" spans="1:12" ht="14.25" customHeight="1" x14ac:dyDescent="0.25">
      <c r="A107" s="3">
        <v>46190</v>
      </c>
      <c r="B107" s="1" t="s">
        <v>45</v>
      </c>
      <c r="C107" s="1" t="s">
        <v>46</v>
      </c>
      <c r="D107" s="1" t="s">
        <v>13</v>
      </c>
      <c r="E107" s="1" t="s">
        <v>38</v>
      </c>
      <c r="F107" s="1">
        <v>14</v>
      </c>
      <c r="G107" s="1">
        <v>2996</v>
      </c>
      <c r="H107" s="1">
        <v>570</v>
      </c>
      <c r="I107" s="1">
        <v>2426</v>
      </c>
      <c r="J107" s="1">
        <v>1250</v>
      </c>
      <c r="K107" s="1">
        <v>4.7</v>
      </c>
      <c r="L107" s="4">
        <f>Table1[[#This Row],[Net Earnings]]-Table1[[#This Row],[Fuel Cost]]</f>
        <v>1176</v>
      </c>
    </row>
    <row r="108" spans="1:12" ht="14.25" customHeight="1" x14ac:dyDescent="0.25">
      <c r="A108" s="3">
        <v>46191</v>
      </c>
      <c r="B108" s="1" t="s">
        <v>42</v>
      </c>
      <c r="C108" s="1" t="s">
        <v>43</v>
      </c>
      <c r="D108" s="1" t="s">
        <v>13</v>
      </c>
      <c r="E108" s="1" t="s">
        <v>51</v>
      </c>
      <c r="F108" s="1">
        <v>19</v>
      </c>
      <c r="G108" s="1">
        <v>4404</v>
      </c>
      <c r="H108" s="1">
        <v>840</v>
      </c>
      <c r="I108" s="1">
        <v>3564</v>
      </c>
      <c r="J108" s="1">
        <v>1420</v>
      </c>
      <c r="K108" s="1">
        <v>4.4000000000000004</v>
      </c>
      <c r="L108" s="4">
        <f>Table1[[#This Row],[Net Earnings]]-Table1[[#This Row],[Fuel Cost]]</f>
        <v>2144</v>
      </c>
    </row>
    <row r="109" spans="1:12" ht="14.25" customHeight="1" x14ac:dyDescent="0.25">
      <c r="A109" s="3">
        <v>46192</v>
      </c>
      <c r="B109" s="1" t="s">
        <v>39</v>
      </c>
      <c r="C109" s="1" t="s">
        <v>40</v>
      </c>
      <c r="D109" s="1" t="s">
        <v>35</v>
      </c>
      <c r="E109" s="1" t="s">
        <v>20</v>
      </c>
      <c r="F109" s="1">
        <v>11</v>
      </c>
      <c r="G109" s="1">
        <v>2706</v>
      </c>
      <c r="H109" s="1">
        <v>540</v>
      </c>
      <c r="I109" s="1">
        <v>2166</v>
      </c>
      <c r="J109" s="1">
        <v>1070</v>
      </c>
      <c r="K109" s="1">
        <v>4.5</v>
      </c>
      <c r="L109" s="4">
        <f>Table1[[#This Row],[Net Earnings]]-Table1[[#This Row],[Fuel Cost]]</f>
        <v>1096</v>
      </c>
    </row>
    <row r="110" spans="1:12" ht="14.25" customHeight="1" x14ac:dyDescent="0.25">
      <c r="A110" s="3">
        <v>46193</v>
      </c>
      <c r="B110" s="1" t="s">
        <v>36</v>
      </c>
      <c r="C110" s="1" t="s">
        <v>37</v>
      </c>
      <c r="D110" s="1" t="s">
        <v>14</v>
      </c>
      <c r="E110" s="1" t="s">
        <v>50</v>
      </c>
      <c r="F110" s="1">
        <v>12</v>
      </c>
      <c r="G110" s="1">
        <v>2911</v>
      </c>
      <c r="H110" s="1">
        <v>610</v>
      </c>
      <c r="I110" s="1">
        <v>2301</v>
      </c>
      <c r="J110" s="1">
        <v>1170</v>
      </c>
      <c r="K110" s="1">
        <v>4.4000000000000004</v>
      </c>
      <c r="L110" s="4">
        <f>Table1[[#This Row],[Net Earnings]]-Table1[[#This Row],[Fuel Cost]]</f>
        <v>1131</v>
      </c>
    </row>
    <row r="111" spans="1:12" ht="14.25" customHeight="1" x14ac:dyDescent="0.25">
      <c r="A111" s="3">
        <v>46194</v>
      </c>
      <c r="B111" s="1" t="s">
        <v>33</v>
      </c>
      <c r="C111" s="1" t="s">
        <v>34</v>
      </c>
      <c r="D111" s="1" t="s">
        <v>14</v>
      </c>
      <c r="E111" s="1" t="s">
        <v>32</v>
      </c>
      <c r="F111" s="1">
        <v>15</v>
      </c>
      <c r="G111" s="1">
        <v>3869</v>
      </c>
      <c r="H111" s="1">
        <v>740</v>
      </c>
      <c r="I111" s="1">
        <v>3129</v>
      </c>
      <c r="J111" s="1">
        <v>1290</v>
      </c>
      <c r="K111" s="1">
        <v>4.5</v>
      </c>
      <c r="L111" s="4">
        <f>Table1[[#This Row],[Net Earnings]]-Table1[[#This Row],[Fuel Cost]]</f>
        <v>1839</v>
      </c>
    </row>
    <row r="112" spans="1:12" ht="14.25" customHeight="1" x14ac:dyDescent="0.25">
      <c r="A112" s="3">
        <v>46195</v>
      </c>
      <c r="B112" s="1" t="s">
        <v>30</v>
      </c>
      <c r="C112" s="1" t="s">
        <v>31</v>
      </c>
      <c r="D112" s="1" t="s">
        <v>13</v>
      </c>
      <c r="E112" s="1" t="s">
        <v>49</v>
      </c>
      <c r="F112" s="1">
        <v>25</v>
      </c>
      <c r="G112" s="1">
        <v>5659</v>
      </c>
      <c r="H112" s="1">
        <v>1080</v>
      </c>
      <c r="I112" s="1">
        <v>4579</v>
      </c>
      <c r="J112" s="1">
        <v>1490</v>
      </c>
      <c r="K112" s="1">
        <v>4.3</v>
      </c>
      <c r="L112" s="4">
        <f>Table1[[#This Row],[Net Earnings]]-Table1[[#This Row],[Fuel Cost]]</f>
        <v>3089</v>
      </c>
    </row>
    <row r="113" spans="1:12" ht="14.25" customHeight="1" x14ac:dyDescent="0.25">
      <c r="A113" s="3">
        <v>46196</v>
      </c>
      <c r="B113" s="1" t="s">
        <v>27</v>
      </c>
      <c r="C113" s="1" t="s">
        <v>28</v>
      </c>
      <c r="D113" s="1" t="s">
        <v>20</v>
      </c>
      <c r="E113" s="1" t="s">
        <v>29</v>
      </c>
      <c r="F113" s="1">
        <v>26</v>
      </c>
      <c r="G113" s="1">
        <v>6684</v>
      </c>
      <c r="H113" s="1">
        <v>1270</v>
      </c>
      <c r="I113" s="1">
        <v>5414</v>
      </c>
      <c r="J113" s="1">
        <v>1570</v>
      </c>
      <c r="K113" s="1">
        <v>4.3</v>
      </c>
      <c r="L113" s="4">
        <f>Table1[[#This Row],[Net Earnings]]-Table1[[#This Row],[Fuel Cost]]</f>
        <v>3844</v>
      </c>
    </row>
    <row r="114" spans="1:12" ht="14.25" customHeight="1" x14ac:dyDescent="0.25">
      <c r="A114" s="3">
        <v>46197</v>
      </c>
      <c r="B114" s="1" t="s">
        <v>24</v>
      </c>
      <c r="C114" s="1" t="s">
        <v>25</v>
      </c>
      <c r="D114" s="1" t="s">
        <v>20</v>
      </c>
      <c r="E114" s="1" t="s">
        <v>48</v>
      </c>
      <c r="F114" s="1">
        <v>22</v>
      </c>
      <c r="G114" s="1">
        <v>6044</v>
      </c>
      <c r="H114" s="1">
        <v>1210</v>
      </c>
      <c r="I114" s="1">
        <v>4834</v>
      </c>
      <c r="J114" s="1">
        <v>1290</v>
      </c>
      <c r="K114" s="1">
        <v>4.5</v>
      </c>
      <c r="L114" s="4">
        <f>Table1[[#This Row],[Net Earnings]]-Table1[[#This Row],[Fuel Cost]]</f>
        <v>3544</v>
      </c>
    </row>
    <row r="115" spans="1:12" ht="14.25" customHeight="1" x14ac:dyDescent="0.25">
      <c r="A115" s="3">
        <v>46198</v>
      </c>
      <c r="B115" s="1" t="s">
        <v>21</v>
      </c>
      <c r="C115" s="1" t="s">
        <v>22</v>
      </c>
      <c r="D115" s="1" t="s">
        <v>20</v>
      </c>
      <c r="E115" s="1" t="s">
        <v>26</v>
      </c>
      <c r="F115" s="1">
        <v>14</v>
      </c>
      <c r="G115" s="1">
        <v>2999</v>
      </c>
      <c r="H115" s="1">
        <v>570</v>
      </c>
      <c r="I115" s="1">
        <v>2429</v>
      </c>
      <c r="J115" s="1">
        <v>1160</v>
      </c>
      <c r="K115" s="1">
        <v>4.7</v>
      </c>
      <c r="L115" s="4">
        <f>Table1[[#This Row],[Net Earnings]]-Table1[[#This Row],[Fuel Cost]]</f>
        <v>1269</v>
      </c>
    </row>
    <row r="116" spans="1:12" ht="14.25" customHeight="1" x14ac:dyDescent="0.25">
      <c r="A116" s="3">
        <v>46199</v>
      </c>
      <c r="B116" s="1" t="s">
        <v>18</v>
      </c>
      <c r="C116" s="1" t="s">
        <v>19</v>
      </c>
      <c r="D116" s="1" t="s">
        <v>14</v>
      </c>
      <c r="E116" s="1" t="s">
        <v>13</v>
      </c>
      <c r="F116" s="1">
        <v>22</v>
      </c>
      <c r="G116" s="1">
        <v>5980</v>
      </c>
      <c r="H116" s="1">
        <v>1260</v>
      </c>
      <c r="I116" s="1">
        <v>4720</v>
      </c>
      <c r="J116" s="1">
        <v>1380</v>
      </c>
      <c r="K116" s="1">
        <v>4.4000000000000004</v>
      </c>
      <c r="L116" s="4">
        <f>Table1[[#This Row],[Net Earnings]]-Table1[[#This Row],[Fuel Cost]]</f>
        <v>3340</v>
      </c>
    </row>
    <row r="117" spans="1:12" ht="14.25" customHeight="1" x14ac:dyDescent="0.25">
      <c r="A117" s="3">
        <v>46200</v>
      </c>
      <c r="B117" s="1" t="s">
        <v>15</v>
      </c>
      <c r="C117" s="1" t="s">
        <v>16</v>
      </c>
      <c r="D117" s="1" t="s">
        <v>20</v>
      </c>
      <c r="E117" s="1" t="s">
        <v>23</v>
      </c>
      <c r="F117" s="1">
        <v>25</v>
      </c>
      <c r="G117" s="1">
        <v>6836</v>
      </c>
      <c r="H117" s="1">
        <v>1440</v>
      </c>
      <c r="I117" s="1">
        <v>5396</v>
      </c>
      <c r="J117" s="1">
        <v>1790</v>
      </c>
      <c r="K117" s="1">
        <v>4.5999999999999996</v>
      </c>
      <c r="L117" s="4">
        <f>Table1[[#This Row],[Net Earnings]]-Table1[[#This Row],[Fuel Cost]]</f>
        <v>3606</v>
      </c>
    </row>
    <row r="118" spans="1:12" ht="14.25" customHeight="1" x14ac:dyDescent="0.25">
      <c r="A118" s="3">
        <v>46201</v>
      </c>
      <c r="B118" s="1" t="s">
        <v>11</v>
      </c>
      <c r="C118" s="1" t="s">
        <v>12</v>
      </c>
      <c r="D118" s="1" t="s">
        <v>20</v>
      </c>
      <c r="E118" s="1" t="s">
        <v>47</v>
      </c>
      <c r="F118" s="1">
        <v>26</v>
      </c>
      <c r="G118" s="1">
        <v>6478</v>
      </c>
      <c r="H118" s="1">
        <v>1230</v>
      </c>
      <c r="I118" s="1">
        <v>5248</v>
      </c>
      <c r="J118" s="1">
        <v>1490</v>
      </c>
      <c r="K118" s="1">
        <v>4.9000000000000004</v>
      </c>
      <c r="L118" s="4">
        <f>Table1[[#This Row],[Net Earnings]]-Table1[[#This Row],[Fuel Cost]]</f>
        <v>3758</v>
      </c>
    </row>
    <row r="119" spans="1:12" ht="14.25" customHeight="1" x14ac:dyDescent="0.25">
      <c r="A119" s="3">
        <v>46202</v>
      </c>
      <c r="B119" s="1" t="s">
        <v>45</v>
      </c>
      <c r="C119" s="1" t="s">
        <v>46</v>
      </c>
      <c r="D119" s="1" t="s">
        <v>20</v>
      </c>
      <c r="E119" s="1" t="s">
        <v>13</v>
      </c>
      <c r="F119" s="1">
        <v>20</v>
      </c>
      <c r="G119" s="1">
        <v>4339</v>
      </c>
      <c r="H119" s="1">
        <v>910</v>
      </c>
      <c r="I119" s="1">
        <v>3429</v>
      </c>
      <c r="J119" s="1">
        <v>1390</v>
      </c>
      <c r="K119" s="1">
        <v>4.5999999999999996</v>
      </c>
      <c r="L119" s="4">
        <f>Table1[[#This Row],[Net Earnings]]-Table1[[#This Row],[Fuel Cost]]</f>
        <v>2039</v>
      </c>
    </row>
    <row r="120" spans="1:12" ht="14.25" customHeight="1" x14ac:dyDescent="0.25">
      <c r="A120" s="3">
        <v>46203</v>
      </c>
      <c r="B120" s="1" t="s">
        <v>42</v>
      </c>
      <c r="C120" s="1" t="s">
        <v>43</v>
      </c>
      <c r="D120" s="1" t="s">
        <v>13</v>
      </c>
      <c r="E120" s="1" t="s">
        <v>44</v>
      </c>
      <c r="F120" s="1">
        <v>12</v>
      </c>
      <c r="G120" s="1">
        <v>2707</v>
      </c>
      <c r="H120" s="1">
        <v>570</v>
      </c>
      <c r="I120" s="1">
        <v>2137</v>
      </c>
      <c r="J120" s="1">
        <v>1220</v>
      </c>
      <c r="K120" s="1">
        <v>4.3</v>
      </c>
      <c r="L120" s="4">
        <f>Table1[[#This Row],[Net Earnings]]-Table1[[#This Row],[Fuel Cost]]</f>
        <v>917</v>
      </c>
    </row>
    <row r="121" spans="1:12" ht="14.25" customHeight="1" x14ac:dyDescent="0.25">
      <c r="A121" s="3">
        <v>46204</v>
      </c>
      <c r="B121" s="1" t="s">
        <v>39</v>
      </c>
      <c r="C121" s="1" t="s">
        <v>40</v>
      </c>
      <c r="D121" s="1" t="s">
        <v>13</v>
      </c>
      <c r="E121" s="1" t="s">
        <v>17</v>
      </c>
      <c r="F121" s="1">
        <v>24</v>
      </c>
      <c r="G121" s="1">
        <v>6845</v>
      </c>
      <c r="H121" s="1">
        <v>1300</v>
      </c>
      <c r="I121" s="1">
        <v>5545</v>
      </c>
      <c r="J121" s="1">
        <v>1500</v>
      </c>
      <c r="K121" s="1">
        <v>4.5999999999999996</v>
      </c>
      <c r="L121" s="4">
        <f>Table1[[#This Row],[Net Earnings]]-Table1[[#This Row],[Fuel Cost]]</f>
        <v>4045</v>
      </c>
    </row>
    <row r="122" spans="1:12" ht="14.25" customHeight="1" x14ac:dyDescent="0.25">
      <c r="A122" s="3">
        <v>46205</v>
      </c>
      <c r="B122" s="1" t="s">
        <v>36</v>
      </c>
      <c r="C122" s="1" t="s">
        <v>37</v>
      </c>
      <c r="D122" s="1" t="s">
        <v>14</v>
      </c>
      <c r="E122" s="1" t="s">
        <v>41</v>
      </c>
      <c r="F122" s="1">
        <v>24</v>
      </c>
      <c r="G122" s="1">
        <v>6496</v>
      </c>
      <c r="H122" s="1">
        <v>1360</v>
      </c>
      <c r="I122" s="1">
        <v>5136</v>
      </c>
      <c r="J122" s="1">
        <v>1400</v>
      </c>
      <c r="K122" s="1">
        <v>4.9000000000000004</v>
      </c>
      <c r="L122" s="4">
        <f>Table1[[#This Row],[Net Earnings]]-Table1[[#This Row],[Fuel Cost]]</f>
        <v>3736</v>
      </c>
    </row>
    <row r="123" spans="1:12" ht="14.25" customHeight="1" x14ac:dyDescent="0.25">
      <c r="A123" s="3">
        <v>46206</v>
      </c>
      <c r="B123" s="1" t="s">
        <v>33</v>
      </c>
      <c r="C123" s="1" t="s">
        <v>34</v>
      </c>
      <c r="D123" s="1" t="s">
        <v>13</v>
      </c>
      <c r="E123" s="1" t="s">
        <v>14</v>
      </c>
      <c r="F123" s="1">
        <v>24</v>
      </c>
      <c r="G123" s="1">
        <v>5491</v>
      </c>
      <c r="H123" s="1">
        <v>1040</v>
      </c>
      <c r="I123" s="1">
        <v>4451</v>
      </c>
      <c r="J123" s="1">
        <v>1530</v>
      </c>
      <c r="K123" s="1">
        <v>4.3</v>
      </c>
      <c r="L123" s="4">
        <f>Table1[[#This Row],[Net Earnings]]-Table1[[#This Row],[Fuel Cost]]</f>
        <v>2921</v>
      </c>
    </row>
    <row r="124" spans="1:12" ht="14.25" customHeight="1" x14ac:dyDescent="0.25">
      <c r="A124" s="3">
        <v>46207</v>
      </c>
      <c r="B124" s="1" t="s">
        <v>30</v>
      </c>
      <c r="C124" s="1" t="s">
        <v>31</v>
      </c>
      <c r="D124" s="1" t="s">
        <v>13</v>
      </c>
      <c r="E124" s="1" t="s">
        <v>38</v>
      </c>
      <c r="F124" s="1">
        <v>13</v>
      </c>
      <c r="G124" s="1">
        <v>2912</v>
      </c>
      <c r="H124" s="1">
        <v>550</v>
      </c>
      <c r="I124" s="1">
        <v>2362</v>
      </c>
      <c r="J124" s="1">
        <v>1100</v>
      </c>
      <c r="K124" s="1">
        <v>4.5</v>
      </c>
      <c r="L124" s="4">
        <f>Table1[[#This Row],[Net Earnings]]-Table1[[#This Row],[Fuel Cost]]</f>
        <v>1262</v>
      </c>
    </row>
    <row r="125" spans="1:12" ht="14.25" customHeight="1" x14ac:dyDescent="0.25">
      <c r="A125" s="3">
        <v>46208</v>
      </c>
      <c r="B125" s="1" t="s">
        <v>27</v>
      </c>
      <c r="C125" s="1" t="s">
        <v>28</v>
      </c>
      <c r="D125" s="1" t="s">
        <v>13</v>
      </c>
      <c r="E125" s="1" t="s">
        <v>51</v>
      </c>
      <c r="F125" s="1">
        <v>23</v>
      </c>
      <c r="G125" s="1">
        <v>6174</v>
      </c>
      <c r="H125" s="1">
        <v>1300</v>
      </c>
      <c r="I125" s="1">
        <v>4874</v>
      </c>
      <c r="J125" s="1">
        <v>1580</v>
      </c>
      <c r="K125" s="1">
        <v>4.5</v>
      </c>
      <c r="L125" s="4">
        <f>Table1[[#This Row],[Net Earnings]]-Table1[[#This Row],[Fuel Cost]]</f>
        <v>3294</v>
      </c>
    </row>
    <row r="126" spans="1:12" ht="14.25" customHeight="1" x14ac:dyDescent="0.25">
      <c r="A126" s="3">
        <v>46209</v>
      </c>
      <c r="B126" s="1" t="s">
        <v>24</v>
      </c>
      <c r="C126" s="1" t="s">
        <v>25</v>
      </c>
      <c r="D126" s="1" t="s">
        <v>35</v>
      </c>
      <c r="E126" s="1" t="s">
        <v>20</v>
      </c>
      <c r="F126" s="1">
        <v>21</v>
      </c>
      <c r="G126" s="1">
        <v>5063</v>
      </c>
      <c r="H126" s="1">
        <v>960</v>
      </c>
      <c r="I126" s="1">
        <v>4103</v>
      </c>
      <c r="J126" s="1">
        <v>1460</v>
      </c>
      <c r="K126" s="1">
        <v>4.8</v>
      </c>
      <c r="L126" s="4">
        <f>Table1[[#This Row],[Net Earnings]]-Table1[[#This Row],[Fuel Cost]]</f>
        <v>2643</v>
      </c>
    </row>
    <row r="127" spans="1:12" ht="14.25" customHeight="1" x14ac:dyDescent="0.25">
      <c r="A127" s="3">
        <v>46210</v>
      </c>
      <c r="B127" s="1" t="s">
        <v>21</v>
      </c>
      <c r="C127" s="1" t="s">
        <v>22</v>
      </c>
      <c r="D127" s="1" t="s">
        <v>14</v>
      </c>
      <c r="E127" s="1" t="s">
        <v>50</v>
      </c>
      <c r="F127" s="1">
        <v>24</v>
      </c>
      <c r="G127" s="1">
        <v>5941</v>
      </c>
      <c r="H127" s="1">
        <v>1250</v>
      </c>
      <c r="I127" s="1">
        <v>4691</v>
      </c>
      <c r="J127" s="1">
        <v>1420</v>
      </c>
      <c r="K127" s="1">
        <v>4.7</v>
      </c>
      <c r="L127" s="4">
        <f>Table1[[#This Row],[Net Earnings]]-Table1[[#This Row],[Fuel Cost]]</f>
        <v>3271</v>
      </c>
    </row>
    <row r="128" spans="1:12" ht="14.25" customHeight="1" x14ac:dyDescent="0.25">
      <c r="A128" s="3">
        <v>46211</v>
      </c>
      <c r="B128" s="1" t="s">
        <v>18</v>
      </c>
      <c r="C128" s="1" t="s">
        <v>19</v>
      </c>
      <c r="D128" s="1" t="s">
        <v>14</v>
      </c>
      <c r="E128" s="1" t="s">
        <v>32</v>
      </c>
      <c r="F128" s="1">
        <v>14</v>
      </c>
      <c r="G128" s="1">
        <v>3562</v>
      </c>
      <c r="H128" s="1">
        <v>780</v>
      </c>
      <c r="I128" s="1">
        <v>2782</v>
      </c>
      <c r="J128" s="1">
        <v>1180</v>
      </c>
      <c r="K128" s="1">
        <v>4.4000000000000004</v>
      </c>
      <c r="L128" s="4">
        <f>Table1[[#This Row],[Net Earnings]]-Table1[[#This Row],[Fuel Cost]]</f>
        <v>1602</v>
      </c>
    </row>
    <row r="129" spans="1:12" ht="14.25" customHeight="1" x14ac:dyDescent="0.25">
      <c r="A129" s="3">
        <v>46212</v>
      </c>
      <c r="B129" s="1" t="s">
        <v>15</v>
      </c>
      <c r="C129" s="1" t="s">
        <v>16</v>
      </c>
      <c r="D129" s="1" t="s">
        <v>13</v>
      </c>
      <c r="E129" s="1" t="s">
        <v>49</v>
      </c>
      <c r="F129" s="1">
        <v>26</v>
      </c>
      <c r="G129" s="1">
        <v>7518</v>
      </c>
      <c r="H129" s="1">
        <v>1430</v>
      </c>
      <c r="I129" s="1">
        <v>6088</v>
      </c>
      <c r="J129" s="1">
        <v>1490</v>
      </c>
      <c r="K129" s="1">
        <v>4.7</v>
      </c>
      <c r="L129" s="4">
        <f>Table1[[#This Row],[Net Earnings]]-Table1[[#This Row],[Fuel Cost]]</f>
        <v>4598</v>
      </c>
    </row>
    <row r="130" spans="1:12" ht="14.25" customHeight="1" x14ac:dyDescent="0.25">
      <c r="A130" s="3">
        <v>46213</v>
      </c>
      <c r="B130" s="1" t="s">
        <v>11</v>
      </c>
      <c r="C130" s="1" t="s">
        <v>12</v>
      </c>
      <c r="D130" s="1" t="s">
        <v>20</v>
      </c>
      <c r="E130" s="1" t="s">
        <v>29</v>
      </c>
      <c r="F130" s="1">
        <v>12</v>
      </c>
      <c r="G130" s="1">
        <v>3225</v>
      </c>
      <c r="H130" s="1">
        <v>580</v>
      </c>
      <c r="I130" s="1">
        <v>2645</v>
      </c>
      <c r="J130" s="1">
        <v>1210</v>
      </c>
      <c r="K130" s="1">
        <v>4.5999999999999996</v>
      </c>
      <c r="L130" s="4">
        <f>Table1[[#This Row],[Net Earnings]]-Table1[[#This Row],[Fuel Cost]]</f>
        <v>1435</v>
      </c>
    </row>
    <row r="131" spans="1:12" ht="14.25" customHeight="1" x14ac:dyDescent="0.25">
      <c r="A131" s="3">
        <v>46214</v>
      </c>
      <c r="B131" s="1" t="s">
        <v>45</v>
      </c>
      <c r="C131" s="1" t="s">
        <v>46</v>
      </c>
      <c r="D131" s="1" t="s">
        <v>20</v>
      </c>
      <c r="E131" s="1" t="s">
        <v>48</v>
      </c>
      <c r="F131" s="1">
        <v>18</v>
      </c>
      <c r="G131" s="1">
        <v>5131</v>
      </c>
      <c r="H131" s="1">
        <v>1080</v>
      </c>
      <c r="I131" s="1">
        <v>4051</v>
      </c>
      <c r="J131" s="1">
        <v>1370</v>
      </c>
      <c r="K131" s="1">
        <v>4.5999999999999996</v>
      </c>
      <c r="L131" s="4">
        <f>Table1[[#This Row],[Net Earnings]]-Table1[[#This Row],[Fuel Cost]]</f>
        <v>2681</v>
      </c>
    </row>
    <row r="132" spans="1:12" ht="14.25" customHeight="1" x14ac:dyDescent="0.25">
      <c r="A132" s="3">
        <v>46185</v>
      </c>
      <c r="B132" s="1" t="s">
        <v>42</v>
      </c>
      <c r="C132" s="1" t="s">
        <v>43</v>
      </c>
      <c r="D132" s="1" t="s">
        <v>20</v>
      </c>
      <c r="E132" s="1" t="s">
        <v>26</v>
      </c>
      <c r="F132" s="1">
        <v>23</v>
      </c>
      <c r="G132" s="1">
        <v>5443</v>
      </c>
      <c r="H132" s="1">
        <v>980</v>
      </c>
      <c r="I132" s="1">
        <v>4463</v>
      </c>
      <c r="J132" s="1">
        <v>1430</v>
      </c>
      <c r="K132" s="1">
        <v>4.7</v>
      </c>
      <c r="L132" s="4">
        <f>Table1[[#This Row],[Net Earnings]]-Table1[[#This Row],[Fuel Cost]]</f>
        <v>3033</v>
      </c>
    </row>
    <row r="133" spans="1:12" ht="14.25" customHeight="1" x14ac:dyDescent="0.25">
      <c r="A133" s="3">
        <v>46186</v>
      </c>
      <c r="B133" s="1" t="s">
        <v>39</v>
      </c>
      <c r="C133" s="1" t="s">
        <v>40</v>
      </c>
      <c r="D133" s="1" t="s">
        <v>14</v>
      </c>
      <c r="E133" s="1" t="s">
        <v>13</v>
      </c>
      <c r="F133" s="1">
        <v>21</v>
      </c>
      <c r="G133" s="1">
        <v>5034</v>
      </c>
      <c r="H133" s="1">
        <v>910</v>
      </c>
      <c r="I133" s="1">
        <v>4124</v>
      </c>
      <c r="J133" s="1">
        <v>1380</v>
      </c>
      <c r="K133" s="1">
        <v>4.5999999999999996</v>
      </c>
      <c r="L133" s="4">
        <f>Table1[[#This Row],[Net Earnings]]-Table1[[#This Row],[Fuel Cost]]</f>
        <v>2744</v>
      </c>
    </row>
    <row r="134" spans="1:12" ht="14.25" customHeight="1" x14ac:dyDescent="0.25">
      <c r="A134" s="3">
        <v>46187</v>
      </c>
      <c r="B134" s="1" t="s">
        <v>36</v>
      </c>
      <c r="C134" s="1" t="s">
        <v>37</v>
      </c>
      <c r="D134" s="1" t="s">
        <v>20</v>
      </c>
      <c r="E134" s="1" t="s">
        <v>23</v>
      </c>
      <c r="F134" s="1">
        <v>26</v>
      </c>
      <c r="G134" s="1">
        <v>5723</v>
      </c>
      <c r="H134" s="1">
        <v>1090</v>
      </c>
      <c r="I134" s="1">
        <v>4633</v>
      </c>
      <c r="J134" s="1">
        <v>1590</v>
      </c>
      <c r="K134" s="1">
        <v>4.7</v>
      </c>
      <c r="L134" s="4">
        <f>Table1[[#This Row],[Net Earnings]]-Table1[[#This Row],[Fuel Cost]]</f>
        <v>3043</v>
      </c>
    </row>
    <row r="135" spans="1:12" ht="14.25" customHeight="1" x14ac:dyDescent="0.25">
      <c r="A135" s="3">
        <v>46188</v>
      </c>
      <c r="B135" s="1" t="s">
        <v>33</v>
      </c>
      <c r="C135" s="1" t="s">
        <v>34</v>
      </c>
      <c r="D135" s="1" t="s">
        <v>20</v>
      </c>
      <c r="E135" s="1" t="s">
        <v>47</v>
      </c>
      <c r="F135" s="1">
        <v>23</v>
      </c>
      <c r="G135" s="1">
        <v>5003</v>
      </c>
      <c r="H135" s="1">
        <v>900</v>
      </c>
      <c r="I135" s="1">
        <v>4103</v>
      </c>
      <c r="J135" s="1">
        <v>1530</v>
      </c>
      <c r="K135" s="1">
        <v>4.4000000000000004</v>
      </c>
      <c r="L135" s="4">
        <f>Table1[[#This Row],[Net Earnings]]-Table1[[#This Row],[Fuel Cost]]</f>
        <v>2573</v>
      </c>
    </row>
    <row r="136" spans="1:12" ht="14.25" customHeight="1" x14ac:dyDescent="0.25">
      <c r="A136" s="3">
        <v>46189</v>
      </c>
      <c r="B136" s="1" t="s">
        <v>30</v>
      </c>
      <c r="C136" s="1" t="s">
        <v>31</v>
      </c>
      <c r="D136" s="1" t="s">
        <v>20</v>
      </c>
      <c r="E136" s="1" t="s">
        <v>13</v>
      </c>
      <c r="F136" s="1">
        <v>18</v>
      </c>
      <c r="G136" s="1">
        <v>4347</v>
      </c>
      <c r="H136" s="1">
        <v>830</v>
      </c>
      <c r="I136" s="1">
        <v>3517</v>
      </c>
      <c r="J136" s="1">
        <v>1430</v>
      </c>
      <c r="K136" s="1">
        <v>4.3</v>
      </c>
      <c r="L136" s="4">
        <f>Table1[[#This Row],[Net Earnings]]-Table1[[#This Row],[Fuel Cost]]</f>
        <v>2087</v>
      </c>
    </row>
    <row r="137" spans="1:12" ht="14.25" customHeight="1" x14ac:dyDescent="0.25">
      <c r="A137" s="3">
        <v>46190</v>
      </c>
      <c r="B137" s="1" t="s">
        <v>27</v>
      </c>
      <c r="C137" s="1" t="s">
        <v>28</v>
      </c>
      <c r="D137" s="1" t="s">
        <v>13</v>
      </c>
      <c r="E137" s="1" t="s">
        <v>44</v>
      </c>
      <c r="F137" s="1">
        <v>12</v>
      </c>
      <c r="G137" s="1">
        <v>2811</v>
      </c>
      <c r="H137" s="1">
        <v>560</v>
      </c>
      <c r="I137" s="1">
        <v>2251</v>
      </c>
      <c r="J137" s="1">
        <v>1050</v>
      </c>
      <c r="K137" s="1">
        <v>4.5999999999999996</v>
      </c>
      <c r="L137" s="4">
        <f>Table1[[#This Row],[Net Earnings]]-Table1[[#This Row],[Fuel Cost]]</f>
        <v>1201</v>
      </c>
    </row>
    <row r="138" spans="1:12" ht="14.25" customHeight="1" x14ac:dyDescent="0.25">
      <c r="A138" s="3">
        <v>46191</v>
      </c>
      <c r="B138" s="1" t="s">
        <v>24</v>
      </c>
      <c r="C138" s="1" t="s">
        <v>25</v>
      </c>
      <c r="D138" s="1" t="s">
        <v>13</v>
      </c>
      <c r="E138" s="1" t="s">
        <v>17</v>
      </c>
      <c r="F138" s="1">
        <v>23</v>
      </c>
      <c r="G138" s="1">
        <v>6380</v>
      </c>
      <c r="H138" s="1">
        <v>1340</v>
      </c>
      <c r="I138" s="1">
        <v>5040</v>
      </c>
      <c r="J138" s="1">
        <v>1560</v>
      </c>
      <c r="K138" s="1">
        <v>4.4000000000000004</v>
      </c>
      <c r="L138" s="4">
        <f>Table1[[#This Row],[Net Earnings]]-Table1[[#This Row],[Fuel Cost]]</f>
        <v>3480</v>
      </c>
    </row>
    <row r="139" spans="1:12" ht="14.25" customHeight="1" x14ac:dyDescent="0.25">
      <c r="A139" s="3">
        <v>46192</v>
      </c>
      <c r="B139" s="1" t="s">
        <v>21</v>
      </c>
      <c r="C139" s="1" t="s">
        <v>22</v>
      </c>
      <c r="D139" s="1" t="s">
        <v>14</v>
      </c>
      <c r="E139" s="1" t="s">
        <v>41</v>
      </c>
      <c r="F139" s="1">
        <v>14</v>
      </c>
      <c r="G139" s="1">
        <v>3132</v>
      </c>
      <c r="H139" s="1">
        <v>600</v>
      </c>
      <c r="I139" s="1">
        <v>2532</v>
      </c>
      <c r="J139" s="1">
        <v>1160</v>
      </c>
      <c r="K139" s="1">
        <v>4.5</v>
      </c>
      <c r="L139" s="4">
        <f>Table1[[#This Row],[Net Earnings]]-Table1[[#This Row],[Fuel Cost]]</f>
        <v>1372</v>
      </c>
    </row>
    <row r="140" spans="1:12" ht="14.25" customHeight="1" x14ac:dyDescent="0.25">
      <c r="A140" s="3">
        <v>46193</v>
      </c>
      <c r="B140" s="1" t="s">
        <v>18</v>
      </c>
      <c r="C140" s="1" t="s">
        <v>19</v>
      </c>
      <c r="D140" s="1" t="s">
        <v>13</v>
      </c>
      <c r="E140" s="1" t="s">
        <v>14</v>
      </c>
      <c r="F140" s="1">
        <v>17</v>
      </c>
      <c r="G140" s="1">
        <v>4276</v>
      </c>
      <c r="H140" s="1">
        <v>860</v>
      </c>
      <c r="I140" s="1">
        <v>3416</v>
      </c>
      <c r="J140" s="1">
        <v>1430</v>
      </c>
      <c r="K140" s="1">
        <v>4.5999999999999996</v>
      </c>
      <c r="L140" s="4">
        <f>Table1[[#This Row],[Net Earnings]]-Table1[[#This Row],[Fuel Cost]]</f>
        <v>1986</v>
      </c>
    </row>
    <row r="141" spans="1:12" ht="14.25" customHeight="1" x14ac:dyDescent="0.25">
      <c r="A141" s="3">
        <v>46194</v>
      </c>
      <c r="B141" s="1" t="s">
        <v>15</v>
      </c>
      <c r="C141" s="1" t="s">
        <v>16</v>
      </c>
      <c r="D141" s="1" t="s">
        <v>13</v>
      </c>
      <c r="E141" s="1" t="s">
        <v>38</v>
      </c>
      <c r="F141" s="1">
        <v>28</v>
      </c>
      <c r="G141" s="1">
        <v>7572</v>
      </c>
      <c r="H141" s="1">
        <v>1360</v>
      </c>
      <c r="I141" s="1">
        <v>6212</v>
      </c>
      <c r="J141" s="1">
        <v>1820</v>
      </c>
      <c r="K141" s="1">
        <v>4.5</v>
      </c>
      <c r="L141" s="4">
        <f>Table1[[#This Row],[Net Earnings]]-Table1[[#This Row],[Fuel Cost]]</f>
        <v>4392</v>
      </c>
    </row>
    <row r="142" spans="1:12" ht="14.25" customHeight="1" x14ac:dyDescent="0.25">
      <c r="A142" s="3">
        <v>46195</v>
      </c>
      <c r="B142" s="1" t="s">
        <v>11</v>
      </c>
      <c r="C142" s="1" t="s">
        <v>12</v>
      </c>
      <c r="D142" s="1" t="s">
        <v>13</v>
      </c>
      <c r="E142" s="1" t="s">
        <v>51</v>
      </c>
      <c r="F142" s="1">
        <v>23</v>
      </c>
      <c r="G142" s="1">
        <v>6110</v>
      </c>
      <c r="H142" s="1">
        <v>1160</v>
      </c>
      <c r="I142" s="1">
        <v>4950</v>
      </c>
      <c r="J142" s="1">
        <v>1320</v>
      </c>
      <c r="K142" s="1">
        <v>4.3</v>
      </c>
      <c r="L142" s="4">
        <f>Table1[[#This Row],[Net Earnings]]-Table1[[#This Row],[Fuel Cost]]</f>
        <v>3630</v>
      </c>
    </row>
    <row r="143" spans="1:12" ht="14.25" customHeight="1" x14ac:dyDescent="0.25">
      <c r="A143" s="3">
        <v>46196</v>
      </c>
      <c r="B143" s="1" t="s">
        <v>45</v>
      </c>
      <c r="C143" s="1" t="s">
        <v>46</v>
      </c>
      <c r="D143" s="1" t="s">
        <v>35</v>
      </c>
      <c r="E143" s="1" t="s">
        <v>20</v>
      </c>
      <c r="F143" s="1">
        <v>25</v>
      </c>
      <c r="G143" s="1">
        <v>5318</v>
      </c>
      <c r="H143" s="1">
        <v>1060</v>
      </c>
      <c r="I143" s="1">
        <v>4258</v>
      </c>
      <c r="J143" s="1">
        <v>1690</v>
      </c>
      <c r="K143" s="1">
        <v>4.5</v>
      </c>
      <c r="L143" s="4">
        <f>Table1[[#This Row],[Net Earnings]]-Table1[[#This Row],[Fuel Cost]]</f>
        <v>2568</v>
      </c>
    </row>
    <row r="144" spans="1:12" ht="14.25" customHeight="1" x14ac:dyDescent="0.25">
      <c r="A144" s="3">
        <v>46197</v>
      </c>
      <c r="B144" s="1" t="s">
        <v>42</v>
      </c>
      <c r="C144" s="1" t="s">
        <v>43</v>
      </c>
      <c r="D144" s="1" t="s">
        <v>14</v>
      </c>
      <c r="E144" s="1" t="s">
        <v>50</v>
      </c>
      <c r="F144" s="1">
        <v>18</v>
      </c>
      <c r="G144" s="1">
        <v>5003</v>
      </c>
      <c r="H144" s="1">
        <v>1050</v>
      </c>
      <c r="I144" s="1">
        <v>3953</v>
      </c>
      <c r="J144" s="1">
        <v>1510</v>
      </c>
      <c r="K144" s="1">
        <v>4.5</v>
      </c>
      <c r="L144" s="4">
        <f>Table1[[#This Row],[Net Earnings]]-Table1[[#This Row],[Fuel Cost]]</f>
        <v>2443</v>
      </c>
    </row>
    <row r="145" spans="1:12" ht="14.25" customHeight="1" x14ac:dyDescent="0.25">
      <c r="A145" s="3">
        <v>46198</v>
      </c>
      <c r="B145" s="1" t="s">
        <v>39</v>
      </c>
      <c r="C145" s="1" t="s">
        <v>40</v>
      </c>
      <c r="D145" s="1" t="s">
        <v>14</v>
      </c>
      <c r="E145" s="1" t="s">
        <v>32</v>
      </c>
      <c r="F145" s="1">
        <v>28</v>
      </c>
      <c r="G145" s="1">
        <v>6526</v>
      </c>
      <c r="H145" s="1">
        <v>1440</v>
      </c>
      <c r="I145" s="1">
        <v>5086</v>
      </c>
      <c r="J145" s="1">
        <v>1820</v>
      </c>
      <c r="K145" s="1">
        <v>4.4000000000000004</v>
      </c>
      <c r="L145" s="4">
        <f>Table1[[#This Row],[Net Earnings]]-Table1[[#This Row],[Fuel Cost]]</f>
        <v>3266</v>
      </c>
    </row>
    <row r="146" spans="1:12" ht="14.25" customHeight="1" x14ac:dyDescent="0.25">
      <c r="A146" s="3">
        <v>46199</v>
      </c>
      <c r="B146" s="1" t="s">
        <v>36</v>
      </c>
      <c r="C146" s="1" t="s">
        <v>37</v>
      </c>
      <c r="D146" s="1" t="s">
        <v>13</v>
      </c>
      <c r="E146" s="1" t="s">
        <v>49</v>
      </c>
      <c r="F146" s="1">
        <v>24</v>
      </c>
      <c r="G146" s="1">
        <v>6189</v>
      </c>
      <c r="H146" s="1">
        <v>1360</v>
      </c>
      <c r="I146" s="1">
        <v>4829</v>
      </c>
      <c r="J146" s="1">
        <v>1690</v>
      </c>
      <c r="K146" s="1">
        <v>4.8</v>
      </c>
      <c r="L146" s="4">
        <f>Table1[[#This Row],[Net Earnings]]-Table1[[#This Row],[Fuel Cost]]</f>
        <v>3139</v>
      </c>
    </row>
    <row r="147" spans="1:12" ht="14.25" customHeight="1" x14ac:dyDescent="0.25">
      <c r="A147" s="3">
        <v>46200</v>
      </c>
      <c r="B147" s="1" t="s">
        <v>33</v>
      </c>
      <c r="C147" s="1" t="s">
        <v>34</v>
      </c>
      <c r="D147" s="1" t="s">
        <v>20</v>
      </c>
      <c r="E147" s="1" t="s">
        <v>29</v>
      </c>
      <c r="F147" s="1">
        <v>12</v>
      </c>
      <c r="G147" s="1">
        <v>2974</v>
      </c>
      <c r="H147" s="1">
        <v>570</v>
      </c>
      <c r="I147" s="1">
        <v>2404</v>
      </c>
      <c r="J147" s="1">
        <v>1110</v>
      </c>
      <c r="K147" s="1">
        <v>4.5</v>
      </c>
      <c r="L147" s="4">
        <f>Table1[[#This Row],[Net Earnings]]-Table1[[#This Row],[Fuel Cost]]</f>
        <v>1294</v>
      </c>
    </row>
    <row r="148" spans="1:12" ht="14.25" customHeight="1" x14ac:dyDescent="0.25">
      <c r="A148" s="3">
        <v>46201</v>
      </c>
      <c r="B148" s="1" t="s">
        <v>30</v>
      </c>
      <c r="C148" s="1" t="s">
        <v>31</v>
      </c>
      <c r="D148" s="1" t="s">
        <v>20</v>
      </c>
      <c r="E148" s="1" t="s">
        <v>48</v>
      </c>
      <c r="F148" s="1">
        <v>23</v>
      </c>
      <c r="G148" s="1">
        <v>6330</v>
      </c>
      <c r="H148" s="1">
        <v>1270</v>
      </c>
      <c r="I148" s="1">
        <v>5060</v>
      </c>
      <c r="J148" s="1">
        <v>1400</v>
      </c>
      <c r="K148" s="1">
        <v>4.8</v>
      </c>
      <c r="L148" s="4">
        <f>Table1[[#This Row],[Net Earnings]]-Table1[[#This Row],[Fuel Cost]]</f>
        <v>3660</v>
      </c>
    </row>
    <row r="149" spans="1:12" ht="14.25" customHeight="1" x14ac:dyDescent="0.25">
      <c r="A149" s="3">
        <v>46202</v>
      </c>
      <c r="B149" s="1" t="s">
        <v>27</v>
      </c>
      <c r="C149" s="1" t="s">
        <v>28</v>
      </c>
      <c r="D149" s="1" t="s">
        <v>20</v>
      </c>
      <c r="E149" s="1" t="s">
        <v>26</v>
      </c>
      <c r="F149" s="1">
        <v>27</v>
      </c>
      <c r="G149" s="1">
        <v>6693</v>
      </c>
      <c r="H149" s="1">
        <v>1410</v>
      </c>
      <c r="I149" s="1">
        <v>5283</v>
      </c>
      <c r="J149" s="1">
        <v>1430</v>
      </c>
      <c r="K149" s="1">
        <v>4.8</v>
      </c>
      <c r="L149" s="4">
        <f>Table1[[#This Row],[Net Earnings]]-Table1[[#This Row],[Fuel Cost]]</f>
        <v>3853</v>
      </c>
    </row>
    <row r="150" spans="1:12" ht="14.25" customHeight="1" x14ac:dyDescent="0.25">
      <c r="A150" s="3">
        <v>46203</v>
      </c>
      <c r="B150" s="1" t="s">
        <v>24</v>
      </c>
      <c r="C150" s="1" t="s">
        <v>25</v>
      </c>
      <c r="D150" s="1" t="s">
        <v>14</v>
      </c>
      <c r="E150" s="1" t="s">
        <v>13</v>
      </c>
      <c r="F150" s="1">
        <v>28</v>
      </c>
      <c r="G150" s="1">
        <v>6085</v>
      </c>
      <c r="H150" s="1">
        <v>1100</v>
      </c>
      <c r="I150" s="1">
        <v>4985</v>
      </c>
      <c r="J150" s="1">
        <v>1550</v>
      </c>
      <c r="K150" s="1">
        <v>4.4000000000000004</v>
      </c>
      <c r="L150" s="4">
        <f>Table1[[#This Row],[Net Earnings]]-Table1[[#This Row],[Fuel Cost]]</f>
        <v>3435</v>
      </c>
    </row>
    <row r="151" spans="1:12" ht="14.25" customHeight="1" x14ac:dyDescent="0.25">
      <c r="A151" s="3">
        <v>46204</v>
      </c>
      <c r="B151" s="1" t="s">
        <v>21</v>
      </c>
      <c r="C151" s="1" t="s">
        <v>22</v>
      </c>
      <c r="D151" s="1" t="s">
        <v>20</v>
      </c>
      <c r="E151" s="1" t="s">
        <v>23</v>
      </c>
      <c r="F151" s="1">
        <v>25</v>
      </c>
      <c r="G151" s="1">
        <v>6660</v>
      </c>
      <c r="H151" s="1">
        <v>1200</v>
      </c>
      <c r="I151" s="1">
        <v>5460</v>
      </c>
      <c r="J151" s="1">
        <v>1810</v>
      </c>
      <c r="K151" s="1">
        <v>4.5999999999999996</v>
      </c>
      <c r="L151" s="4">
        <f>Table1[[#This Row],[Net Earnings]]-Table1[[#This Row],[Fuel Cost]]</f>
        <v>3650</v>
      </c>
    </row>
    <row r="152" spans="1:12" ht="14.25" customHeight="1" x14ac:dyDescent="0.25">
      <c r="A152" s="3">
        <v>46205</v>
      </c>
      <c r="B152" s="1" t="s">
        <v>18</v>
      </c>
      <c r="C152" s="1" t="s">
        <v>19</v>
      </c>
      <c r="D152" s="1" t="s">
        <v>20</v>
      </c>
      <c r="E152" s="1" t="s">
        <v>47</v>
      </c>
      <c r="F152" s="1">
        <v>20</v>
      </c>
      <c r="G152" s="1">
        <v>5601</v>
      </c>
      <c r="H152" s="1">
        <v>1010</v>
      </c>
      <c r="I152" s="1">
        <v>4591</v>
      </c>
      <c r="J152" s="1">
        <v>1240</v>
      </c>
      <c r="K152" s="1">
        <v>4.8</v>
      </c>
      <c r="L152" s="4">
        <f>Table1[[#This Row],[Net Earnings]]-Table1[[#This Row],[Fuel Cost]]</f>
        <v>3351</v>
      </c>
    </row>
    <row r="153" spans="1:12" ht="14.25" customHeight="1" x14ac:dyDescent="0.25">
      <c r="A153" s="3">
        <v>46206</v>
      </c>
      <c r="B153" s="1" t="s">
        <v>15</v>
      </c>
      <c r="C153" s="1" t="s">
        <v>16</v>
      </c>
      <c r="D153" s="1" t="s">
        <v>20</v>
      </c>
      <c r="E153" s="1" t="s">
        <v>13</v>
      </c>
      <c r="F153" s="1">
        <v>25</v>
      </c>
      <c r="G153" s="1">
        <v>6874</v>
      </c>
      <c r="H153" s="1">
        <v>1370</v>
      </c>
      <c r="I153" s="1">
        <v>5504</v>
      </c>
      <c r="J153" s="1">
        <v>1570</v>
      </c>
      <c r="K153" s="1">
        <v>4.3</v>
      </c>
      <c r="L153" s="4">
        <f>Table1[[#This Row],[Net Earnings]]-Table1[[#This Row],[Fuel Cost]]</f>
        <v>3934</v>
      </c>
    </row>
    <row r="154" spans="1:12" ht="14.25" customHeight="1" x14ac:dyDescent="0.25">
      <c r="A154" s="3">
        <v>46207</v>
      </c>
      <c r="B154" s="1" t="s">
        <v>11</v>
      </c>
      <c r="C154" s="1" t="s">
        <v>12</v>
      </c>
      <c r="D154" s="1" t="s">
        <v>13</v>
      </c>
      <c r="E154" s="1" t="s">
        <v>44</v>
      </c>
      <c r="F154" s="1">
        <v>14</v>
      </c>
      <c r="G154" s="1">
        <v>3274</v>
      </c>
      <c r="H154" s="1">
        <v>720</v>
      </c>
      <c r="I154" s="1">
        <v>2554</v>
      </c>
      <c r="J154" s="1">
        <v>1250</v>
      </c>
      <c r="K154" s="1">
        <v>4.5999999999999996</v>
      </c>
      <c r="L154" s="4">
        <f>Table1[[#This Row],[Net Earnings]]-Table1[[#This Row],[Fuel Cost]]</f>
        <v>1304</v>
      </c>
    </row>
    <row r="155" spans="1:12" ht="14.25" customHeight="1" x14ac:dyDescent="0.25">
      <c r="A155" s="3">
        <v>46208</v>
      </c>
      <c r="B155" s="1" t="s">
        <v>45</v>
      </c>
      <c r="C155" s="1" t="s">
        <v>46</v>
      </c>
      <c r="D155" s="1" t="s">
        <v>13</v>
      </c>
      <c r="E155" s="1" t="s">
        <v>17</v>
      </c>
      <c r="F155" s="1">
        <v>23</v>
      </c>
      <c r="G155" s="1">
        <v>5771</v>
      </c>
      <c r="H155" s="1">
        <v>1210</v>
      </c>
      <c r="I155" s="1">
        <v>4561</v>
      </c>
      <c r="J155" s="1">
        <v>1550</v>
      </c>
      <c r="K155" s="1">
        <v>4.9000000000000004</v>
      </c>
      <c r="L155" s="4">
        <f>Table1[[#This Row],[Net Earnings]]-Table1[[#This Row],[Fuel Cost]]</f>
        <v>3011</v>
      </c>
    </row>
    <row r="156" spans="1:12" ht="14.25" customHeight="1" x14ac:dyDescent="0.25">
      <c r="A156" s="3">
        <v>46209</v>
      </c>
      <c r="B156" s="1" t="s">
        <v>42</v>
      </c>
      <c r="C156" s="1" t="s">
        <v>43</v>
      </c>
      <c r="D156" s="1" t="s">
        <v>14</v>
      </c>
      <c r="E156" s="1" t="s">
        <v>41</v>
      </c>
      <c r="F156" s="1">
        <v>19</v>
      </c>
      <c r="G156" s="1">
        <v>4851</v>
      </c>
      <c r="H156" s="1">
        <v>970</v>
      </c>
      <c r="I156" s="1">
        <v>3881</v>
      </c>
      <c r="J156" s="1">
        <v>1330</v>
      </c>
      <c r="K156" s="1">
        <v>4.4000000000000004</v>
      </c>
      <c r="L156" s="4">
        <f>Table1[[#This Row],[Net Earnings]]-Table1[[#This Row],[Fuel Cost]]</f>
        <v>2551</v>
      </c>
    </row>
    <row r="157" spans="1:12" ht="14.25" customHeight="1" x14ac:dyDescent="0.25">
      <c r="A157" s="3">
        <v>46210</v>
      </c>
      <c r="B157" s="1" t="s">
        <v>39</v>
      </c>
      <c r="C157" s="1" t="s">
        <v>40</v>
      </c>
      <c r="D157" s="1" t="s">
        <v>13</v>
      </c>
      <c r="E157" s="1" t="s">
        <v>14</v>
      </c>
      <c r="F157" s="1">
        <v>15</v>
      </c>
      <c r="G157" s="1">
        <v>3702</v>
      </c>
      <c r="H157" s="1">
        <v>810</v>
      </c>
      <c r="I157" s="1">
        <v>2892</v>
      </c>
      <c r="J157" s="1">
        <v>1310</v>
      </c>
      <c r="K157" s="1">
        <v>4.8</v>
      </c>
      <c r="L157" s="4">
        <f>Table1[[#This Row],[Net Earnings]]-Table1[[#This Row],[Fuel Cost]]</f>
        <v>1582</v>
      </c>
    </row>
    <row r="158" spans="1:12" ht="14.25" customHeight="1" x14ac:dyDescent="0.25">
      <c r="A158" s="3">
        <v>46211</v>
      </c>
      <c r="B158" s="1" t="s">
        <v>36</v>
      </c>
      <c r="C158" s="1" t="s">
        <v>37</v>
      </c>
      <c r="D158" s="1" t="s">
        <v>13</v>
      </c>
      <c r="E158" s="1" t="s">
        <v>38</v>
      </c>
      <c r="F158" s="1">
        <v>20</v>
      </c>
      <c r="G158" s="1">
        <v>4754</v>
      </c>
      <c r="H158" s="1">
        <v>1050</v>
      </c>
      <c r="I158" s="1">
        <v>3704</v>
      </c>
      <c r="J158" s="1">
        <v>1470</v>
      </c>
      <c r="K158" s="1">
        <v>4.5</v>
      </c>
      <c r="L158" s="4">
        <f>Table1[[#This Row],[Net Earnings]]-Table1[[#This Row],[Fuel Cost]]</f>
        <v>2234</v>
      </c>
    </row>
    <row r="159" spans="1:12" ht="14.25" customHeight="1" x14ac:dyDescent="0.25">
      <c r="A159" s="3">
        <v>46212</v>
      </c>
      <c r="B159" s="1" t="s">
        <v>33</v>
      </c>
      <c r="C159" s="1" t="s">
        <v>34</v>
      </c>
      <c r="D159" s="1" t="s">
        <v>13</v>
      </c>
      <c r="E159" s="1" t="s">
        <v>51</v>
      </c>
      <c r="F159" s="1">
        <v>23</v>
      </c>
      <c r="G159" s="1">
        <v>5511</v>
      </c>
      <c r="H159" s="1">
        <v>1100</v>
      </c>
      <c r="I159" s="1">
        <v>4411</v>
      </c>
      <c r="J159" s="1">
        <v>1410</v>
      </c>
      <c r="K159" s="1">
        <v>4.8</v>
      </c>
      <c r="L159" s="4">
        <f>Table1[[#This Row],[Net Earnings]]-Table1[[#This Row],[Fuel Cost]]</f>
        <v>3001</v>
      </c>
    </row>
    <row r="160" spans="1:12" ht="14.25" customHeight="1" x14ac:dyDescent="0.25">
      <c r="A160" s="3">
        <v>46213</v>
      </c>
      <c r="B160" s="1" t="s">
        <v>30</v>
      </c>
      <c r="C160" s="1" t="s">
        <v>31</v>
      </c>
      <c r="D160" s="1" t="s">
        <v>35</v>
      </c>
      <c r="E160" s="1" t="s">
        <v>20</v>
      </c>
      <c r="F160" s="1">
        <v>23</v>
      </c>
      <c r="G160" s="1">
        <v>5797</v>
      </c>
      <c r="H160" s="1">
        <v>1160</v>
      </c>
      <c r="I160" s="1">
        <v>4637</v>
      </c>
      <c r="J160" s="1">
        <v>1280</v>
      </c>
      <c r="K160" s="1">
        <v>4.5999999999999996</v>
      </c>
      <c r="L160" s="4">
        <f>Table1[[#This Row],[Net Earnings]]-Table1[[#This Row],[Fuel Cost]]</f>
        <v>3357</v>
      </c>
    </row>
    <row r="161" spans="1:12" ht="14.25" customHeight="1" x14ac:dyDescent="0.25">
      <c r="A161" s="3">
        <v>46214</v>
      </c>
      <c r="B161" s="1" t="s">
        <v>27</v>
      </c>
      <c r="C161" s="1" t="s">
        <v>28</v>
      </c>
      <c r="D161" s="1" t="s">
        <v>14</v>
      </c>
      <c r="E161" s="1" t="s">
        <v>50</v>
      </c>
      <c r="F161" s="1">
        <v>18</v>
      </c>
      <c r="G161" s="1">
        <v>5005</v>
      </c>
      <c r="H161" s="1">
        <v>1050</v>
      </c>
      <c r="I161" s="1">
        <v>3955</v>
      </c>
      <c r="J161" s="1">
        <v>1510</v>
      </c>
      <c r="K161" s="1">
        <v>4.7</v>
      </c>
      <c r="L161" s="4">
        <f>Table1[[#This Row],[Net Earnings]]-Table1[[#This Row],[Fuel Cost]]</f>
        <v>2445</v>
      </c>
    </row>
    <row r="162" spans="1:12" ht="14.25" customHeight="1" x14ac:dyDescent="0.25">
      <c r="A162" s="3">
        <v>46185</v>
      </c>
      <c r="B162" s="1" t="s">
        <v>24</v>
      </c>
      <c r="C162" s="1" t="s">
        <v>25</v>
      </c>
      <c r="D162" s="1" t="s">
        <v>14</v>
      </c>
      <c r="E162" s="1" t="s">
        <v>32</v>
      </c>
      <c r="F162" s="1">
        <v>16</v>
      </c>
      <c r="G162" s="1">
        <v>4503</v>
      </c>
      <c r="H162" s="1">
        <v>860</v>
      </c>
      <c r="I162" s="1">
        <v>3643</v>
      </c>
      <c r="J162" s="1">
        <v>1230</v>
      </c>
      <c r="K162" s="1">
        <v>4.5</v>
      </c>
      <c r="L162" s="4">
        <f>Table1[[#This Row],[Net Earnings]]-Table1[[#This Row],[Fuel Cost]]</f>
        <v>2413</v>
      </c>
    </row>
    <row r="163" spans="1:12" ht="14.25" customHeight="1" x14ac:dyDescent="0.25">
      <c r="A163" s="3">
        <v>46186</v>
      </c>
      <c r="B163" s="1" t="s">
        <v>21</v>
      </c>
      <c r="C163" s="1" t="s">
        <v>22</v>
      </c>
      <c r="D163" s="1" t="s">
        <v>13</v>
      </c>
      <c r="E163" s="1" t="s">
        <v>49</v>
      </c>
      <c r="F163" s="1">
        <v>27</v>
      </c>
      <c r="G163" s="1">
        <v>6276</v>
      </c>
      <c r="H163" s="1">
        <v>1260</v>
      </c>
      <c r="I163" s="1">
        <v>5016</v>
      </c>
      <c r="J163" s="1">
        <v>1690</v>
      </c>
      <c r="K163" s="1">
        <v>4.7</v>
      </c>
      <c r="L163" s="4">
        <f>Table1[[#This Row],[Net Earnings]]-Table1[[#This Row],[Fuel Cost]]</f>
        <v>3326</v>
      </c>
    </row>
    <row r="164" spans="1:12" ht="14.25" customHeight="1" x14ac:dyDescent="0.25">
      <c r="A164" s="3">
        <v>46187</v>
      </c>
      <c r="B164" s="1" t="s">
        <v>18</v>
      </c>
      <c r="C164" s="1" t="s">
        <v>19</v>
      </c>
      <c r="D164" s="1" t="s">
        <v>20</v>
      </c>
      <c r="E164" s="1" t="s">
        <v>29</v>
      </c>
      <c r="F164" s="1">
        <v>14</v>
      </c>
      <c r="G164" s="1">
        <v>3887</v>
      </c>
      <c r="H164" s="1">
        <v>700</v>
      </c>
      <c r="I164" s="1">
        <v>3187</v>
      </c>
      <c r="J164" s="1">
        <v>1210</v>
      </c>
      <c r="K164" s="1">
        <v>4.5999999999999996</v>
      </c>
      <c r="L164" s="4">
        <f>Table1[[#This Row],[Net Earnings]]-Table1[[#This Row],[Fuel Cost]]</f>
        <v>1977</v>
      </c>
    </row>
    <row r="165" spans="1:12" ht="14.25" customHeight="1" x14ac:dyDescent="0.25">
      <c r="A165" s="3">
        <v>46188</v>
      </c>
      <c r="B165" s="1" t="s">
        <v>15</v>
      </c>
      <c r="C165" s="1" t="s">
        <v>16</v>
      </c>
      <c r="D165" s="1" t="s">
        <v>20</v>
      </c>
      <c r="E165" s="1" t="s">
        <v>48</v>
      </c>
      <c r="F165" s="1">
        <v>14</v>
      </c>
      <c r="G165" s="1">
        <v>3674</v>
      </c>
      <c r="H165" s="1">
        <v>700</v>
      </c>
      <c r="I165" s="1">
        <v>2974</v>
      </c>
      <c r="J165" s="1">
        <v>1070</v>
      </c>
      <c r="K165" s="1">
        <v>4.5</v>
      </c>
      <c r="L165" s="4">
        <f>Table1[[#This Row],[Net Earnings]]-Table1[[#This Row],[Fuel Cost]]</f>
        <v>1904</v>
      </c>
    </row>
    <row r="166" spans="1:12" ht="14.25" customHeight="1" x14ac:dyDescent="0.25">
      <c r="A166" s="3">
        <v>46189</v>
      </c>
      <c r="B166" s="1" t="s">
        <v>11</v>
      </c>
      <c r="C166" s="1" t="s">
        <v>12</v>
      </c>
      <c r="D166" s="1" t="s">
        <v>20</v>
      </c>
      <c r="E166" s="1" t="s">
        <v>26</v>
      </c>
      <c r="F166" s="1">
        <v>13</v>
      </c>
      <c r="G166" s="1">
        <v>2948</v>
      </c>
      <c r="H166" s="1">
        <v>590</v>
      </c>
      <c r="I166" s="1">
        <v>2358</v>
      </c>
      <c r="J166" s="1">
        <v>1130</v>
      </c>
      <c r="K166" s="1">
        <v>4.7</v>
      </c>
      <c r="L166" s="4">
        <f>Table1[[#This Row],[Net Earnings]]-Table1[[#This Row],[Fuel Cost]]</f>
        <v>1228</v>
      </c>
    </row>
    <row r="167" spans="1:12" ht="14.25" customHeight="1" x14ac:dyDescent="0.25">
      <c r="A167" s="3">
        <v>46190</v>
      </c>
      <c r="B167" s="1" t="s">
        <v>45</v>
      </c>
      <c r="C167" s="1" t="s">
        <v>46</v>
      </c>
      <c r="D167" s="1" t="s">
        <v>14</v>
      </c>
      <c r="E167" s="1" t="s">
        <v>13</v>
      </c>
      <c r="F167" s="1">
        <v>13</v>
      </c>
      <c r="G167" s="1">
        <v>2855</v>
      </c>
      <c r="H167" s="1">
        <v>570</v>
      </c>
      <c r="I167" s="1">
        <v>2285</v>
      </c>
      <c r="J167" s="1">
        <v>1220</v>
      </c>
      <c r="K167" s="1">
        <v>4.5999999999999996</v>
      </c>
      <c r="L167" s="4">
        <f>Table1[[#This Row],[Net Earnings]]-Table1[[#This Row],[Fuel Cost]]</f>
        <v>1065</v>
      </c>
    </row>
    <row r="168" spans="1:12" ht="14.25" customHeight="1" x14ac:dyDescent="0.25">
      <c r="A168" s="3">
        <v>46191</v>
      </c>
      <c r="B168" s="1" t="s">
        <v>42</v>
      </c>
      <c r="C168" s="1" t="s">
        <v>43</v>
      </c>
      <c r="D168" s="1" t="s">
        <v>20</v>
      </c>
      <c r="E168" s="1" t="s">
        <v>23</v>
      </c>
      <c r="F168" s="1">
        <v>20</v>
      </c>
      <c r="G168" s="1">
        <v>5620</v>
      </c>
      <c r="H168" s="1">
        <v>1180</v>
      </c>
      <c r="I168" s="1">
        <v>4440</v>
      </c>
      <c r="J168" s="1">
        <v>1600</v>
      </c>
      <c r="K168" s="1">
        <v>4.5999999999999996</v>
      </c>
      <c r="L168" s="4">
        <f>Table1[[#This Row],[Net Earnings]]-Table1[[#This Row],[Fuel Cost]]</f>
        <v>2840</v>
      </c>
    </row>
    <row r="169" spans="1:12" ht="14.25" customHeight="1" x14ac:dyDescent="0.25">
      <c r="A169" s="3">
        <v>46192</v>
      </c>
      <c r="B169" s="1" t="s">
        <v>39</v>
      </c>
      <c r="C169" s="1" t="s">
        <v>40</v>
      </c>
      <c r="D169" s="1" t="s">
        <v>20</v>
      </c>
      <c r="E169" s="1" t="s">
        <v>47</v>
      </c>
      <c r="F169" s="1">
        <v>21</v>
      </c>
      <c r="G169" s="1">
        <v>5089</v>
      </c>
      <c r="H169" s="1">
        <v>1120</v>
      </c>
      <c r="I169" s="1">
        <v>3969</v>
      </c>
      <c r="J169" s="1">
        <v>1350</v>
      </c>
      <c r="K169" s="1">
        <v>4.7</v>
      </c>
      <c r="L169" s="4">
        <f>Table1[[#This Row],[Net Earnings]]-Table1[[#This Row],[Fuel Cost]]</f>
        <v>2619</v>
      </c>
    </row>
    <row r="170" spans="1:12" ht="14.25" customHeight="1" x14ac:dyDescent="0.25">
      <c r="A170" s="3">
        <v>46193</v>
      </c>
      <c r="B170" s="1" t="s">
        <v>36</v>
      </c>
      <c r="C170" s="1" t="s">
        <v>37</v>
      </c>
      <c r="D170" s="1" t="s">
        <v>20</v>
      </c>
      <c r="E170" s="1" t="s">
        <v>13</v>
      </c>
      <c r="F170" s="1">
        <v>16</v>
      </c>
      <c r="G170" s="1">
        <v>4376</v>
      </c>
      <c r="H170" s="1">
        <v>880</v>
      </c>
      <c r="I170" s="1">
        <v>3496</v>
      </c>
      <c r="J170" s="1">
        <v>1230</v>
      </c>
      <c r="K170" s="1">
        <v>4.5</v>
      </c>
      <c r="L170" s="4">
        <f>Table1[[#This Row],[Net Earnings]]-Table1[[#This Row],[Fuel Cost]]</f>
        <v>2266</v>
      </c>
    </row>
    <row r="171" spans="1:12" ht="14.25" customHeight="1" x14ac:dyDescent="0.25">
      <c r="A171" s="3">
        <v>46194</v>
      </c>
      <c r="B171" s="1" t="s">
        <v>33</v>
      </c>
      <c r="C171" s="1" t="s">
        <v>34</v>
      </c>
      <c r="D171" s="1" t="s">
        <v>13</v>
      </c>
      <c r="E171" s="1" t="s">
        <v>44</v>
      </c>
      <c r="F171" s="1">
        <v>18</v>
      </c>
      <c r="G171" s="1">
        <v>4329</v>
      </c>
      <c r="H171" s="1">
        <v>780</v>
      </c>
      <c r="I171" s="1">
        <v>3549</v>
      </c>
      <c r="J171" s="1">
        <v>1360</v>
      </c>
      <c r="K171" s="1">
        <v>4.5</v>
      </c>
      <c r="L171" s="4">
        <f>Table1[[#This Row],[Net Earnings]]-Table1[[#This Row],[Fuel Cost]]</f>
        <v>2189</v>
      </c>
    </row>
    <row r="172" spans="1:12" ht="14.25" customHeight="1" x14ac:dyDescent="0.25">
      <c r="A172" s="3">
        <v>46195</v>
      </c>
      <c r="B172" s="1" t="s">
        <v>30</v>
      </c>
      <c r="C172" s="1" t="s">
        <v>31</v>
      </c>
      <c r="D172" s="1" t="s">
        <v>13</v>
      </c>
      <c r="E172" s="1" t="s">
        <v>17</v>
      </c>
      <c r="F172" s="1">
        <v>12</v>
      </c>
      <c r="G172" s="1">
        <v>3279</v>
      </c>
      <c r="H172" s="1">
        <v>720</v>
      </c>
      <c r="I172" s="1">
        <v>2559</v>
      </c>
      <c r="J172" s="1">
        <v>1150</v>
      </c>
      <c r="K172" s="1">
        <v>4.5999999999999996</v>
      </c>
      <c r="L172" s="4">
        <f>Table1[[#This Row],[Net Earnings]]-Table1[[#This Row],[Fuel Cost]]</f>
        <v>1409</v>
      </c>
    </row>
    <row r="173" spans="1:12" ht="14.25" customHeight="1" x14ac:dyDescent="0.25">
      <c r="A173" s="3">
        <v>46196</v>
      </c>
      <c r="B173" s="1" t="s">
        <v>27</v>
      </c>
      <c r="C173" s="1" t="s">
        <v>28</v>
      </c>
      <c r="D173" s="1" t="s">
        <v>14</v>
      </c>
      <c r="E173" s="1" t="s">
        <v>41</v>
      </c>
      <c r="F173" s="1">
        <v>24</v>
      </c>
      <c r="G173" s="1">
        <v>6793</v>
      </c>
      <c r="H173" s="1">
        <v>1290</v>
      </c>
      <c r="I173" s="1">
        <v>5503</v>
      </c>
      <c r="J173" s="1">
        <v>1730</v>
      </c>
      <c r="K173" s="1">
        <v>4.5</v>
      </c>
      <c r="L173" s="4">
        <f>Table1[[#This Row],[Net Earnings]]-Table1[[#This Row],[Fuel Cost]]</f>
        <v>3773</v>
      </c>
    </row>
    <row r="174" spans="1:12" ht="14.25" customHeight="1" x14ac:dyDescent="0.25">
      <c r="A174" s="3">
        <v>46197</v>
      </c>
      <c r="B174" s="1" t="s">
        <v>24</v>
      </c>
      <c r="C174" s="1" t="s">
        <v>25</v>
      </c>
      <c r="D174" s="1" t="s">
        <v>13</v>
      </c>
      <c r="E174" s="1" t="s">
        <v>14</v>
      </c>
      <c r="F174" s="1">
        <v>19</v>
      </c>
      <c r="G174" s="1">
        <v>4370</v>
      </c>
      <c r="H174" s="1">
        <v>870</v>
      </c>
      <c r="I174" s="1">
        <v>3500</v>
      </c>
      <c r="J174" s="1">
        <v>1470</v>
      </c>
      <c r="K174" s="1">
        <v>4.7</v>
      </c>
      <c r="L174" s="4">
        <f>Table1[[#This Row],[Net Earnings]]-Table1[[#This Row],[Fuel Cost]]</f>
        <v>2030</v>
      </c>
    </row>
    <row r="175" spans="1:12" ht="14.25" customHeight="1" x14ac:dyDescent="0.25">
      <c r="A175" s="3">
        <v>46198</v>
      </c>
      <c r="B175" s="1" t="s">
        <v>21</v>
      </c>
      <c r="C175" s="1" t="s">
        <v>22</v>
      </c>
      <c r="D175" s="1" t="s">
        <v>13</v>
      </c>
      <c r="E175" s="1" t="s">
        <v>38</v>
      </c>
      <c r="F175" s="1">
        <v>21</v>
      </c>
      <c r="G175" s="1">
        <v>5386</v>
      </c>
      <c r="H175" s="1">
        <v>1020</v>
      </c>
      <c r="I175" s="1">
        <v>4366</v>
      </c>
      <c r="J175" s="1">
        <v>1320</v>
      </c>
      <c r="K175" s="1">
        <v>4.7</v>
      </c>
      <c r="L175" s="4">
        <f>Table1[[#This Row],[Net Earnings]]-Table1[[#This Row],[Fuel Cost]]</f>
        <v>3046</v>
      </c>
    </row>
    <row r="176" spans="1:12" ht="14.25" customHeight="1" x14ac:dyDescent="0.25">
      <c r="A176" s="3">
        <v>46199</v>
      </c>
      <c r="B176" s="1" t="s">
        <v>18</v>
      </c>
      <c r="C176" s="1" t="s">
        <v>19</v>
      </c>
      <c r="D176" s="1" t="s">
        <v>13</v>
      </c>
      <c r="E176" s="1" t="s">
        <v>51</v>
      </c>
      <c r="F176" s="1">
        <v>13</v>
      </c>
      <c r="G176" s="1">
        <v>2993</v>
      </c>
      <c r="H176" s="1">
        <v>600</v>
      </c>
      <c r="I176" s="1">
        <v>2393</v>
      </c>
      <c r="J176" s="1">
        <v>1220</v>
      </c>
      <c r="K176" s="1">
        <v>4.8</v>
      </c>
      <c r="L176" s="4">
        <f>Table1[[#This Row],[Net Earnings]]-Table1[[#This Row],[Fuel Cost]]</f>
        <v>1173</v>
      </c>
    </row>
    <row r="177" spans="1:12" ht="14.25" customHeight="1" x14ac:dyDescent="0.25">
      <c r="A177" s="3">
        <v>46200</v>
      </c>
      <c r="B177" s="1" t="s">
        <v>15</v>
      </c>
      <c r="C177" s="1" t="s">
        <v>16</v>
      </c>
      <c r="D177" s="1" t="s">
        <v>35</v>
      </c>
      <c r="E177" s="1" t="s">
        <v>20</v>
      </c>
      <c r="F177" s="1">
        <v>21</v>
      </c>
      <c r="G177" s="1">
        <v>4629</v>
      </c>
      <c r="H177" s="1">
        <v>930</v>
      </c>
      <c r="I177" s="1">
        <v>3699</v>
      </c>
      <c r="J177" s="1">
        <v>1500</v>
      </c>
      <c r="K177" s="1">
        <v>4.5999999999999996</v>
      </c>
      <c r="L177" s="4">
        <f>Table1[[#This Row],[Net Earnings]]-Table1[[#This Row],[Fuel Cost]]</f>
        <v>2199</v>
      </c>
    </row>
    <row r="178" spans="1:12" ht="14.25" customHeight="1" x14ac:dyDescent="0.25">
      <c r="A178" s="3">
        <v>46201</v>
      </c>
      <c r="B178" s="1" t="s">
        <v>11</v>
      </c>
      <c r="C178" s="1" t="s">
        <v>12</v>
      </c>
      <c r="D178" s="1" t="s">
        <v>14</v>
      </c>
      <c r="E178" s="1" t="s">
        <v>50</v>
      </c>
      <c r="F178" s="1">
        <v>22</v>
      </c>
      <c r="G178" s="1">
        <v>6272</v>
      </c>
      <c r="H178" s="1">
        <v>1190</v>
      </c>
      <c r="I178" s="1">
        <v>5082</v>
      </c>
      <c r="J178" s="1">
        <v>1570</v>
      </c>
      <c r="K178" s="1">
        <v>4.8</v>
      </c>
      <c r="L178" s="4">
        <f>Table1[[#This Row],[Net Earnings]]-Table1[[#This Row],[Fuel Cost]]</f>
        <v>3512</v>
      </c>
    </row>
    <row r="179" spans="1:12" ht="14.25" customHeight="1" x14ac:dyDescent="0.25">
      <c r="A179" s="3">
        <v>46202</v>
      </c>
      <c r="B179" s="1" t="s">
        <v>45</v>
      </c>
      <c r="C179" s="1" t="s">
        <v>46</v>
      </c>
      <c r="D179" s="1" t="s">
        <v>14</v>
      </c>
      <c r="E179" s="1" t="s">
        <v>32</v>
      </c>
      <c r="F179" s="1">
        <v>26</v>
      </c>
      <c r="G179" s="1">
        <v>5806</v>
      </c>
      <c r="H179" s="1">
        <v>1050</v>
      </c>
      <c r="I179" s="1">
        <v>4756</v>
      </c>
      <c r="J179" s="1">
        <v>1390</v>
      </c>
      <c r="K179" s="1">
        <v>4.3</v>
      </c>
      <c r="L179" s="4">
        <f>Table1[[#This Row],[Net Earnings]]-Table1[[#This Row],[Fuel Cost]]</f>
        <v>3366</v>
      </c>
    </row>
    <row r="180" spans="1:12" ht="14.25" customHeight="1" x14ac:dyDescent="0.25">
      <c r="A180" s="3">
        <v>46203</v>
      </c>
      <c r="B180" s="1" t="s">
        <v>42</v>
      </c>
      <c r="C180" s="1" t="s">
        <v>43</v>
      </c>
      <c r="D180" s="1" t="s">
        <v>13</v>
      </c>
      <c r="E180" s="1" t="s">
        <v>49</v>
      </c>
      <c r="F180" s="1">
        <v>20</v>
      </c>
      <c r="G180" s="1">
        <v>4631</v>
      </c>
      <c r="H180" s="1">
        <v>930</v>
      </c>
      <c r="I180" s="1">
        <v>3701</v>
      </c>
      <c r="J180" s="1">
        <v>1390</v>
      </c>
      <c r="K180" s="1">
        <v>4.7</v>
      </c>
      <c r="L180" s="4">
        <f>Table1[[#This Row],[Net Earnings]]-Table1[[#This Row],[Fuel Cost]]</f>
        <v>2311</v>
      </c>
    </row>
    <row r="181" spans="1:12" ht="14.25" customHeight="1" x14ac:dyDescent="0.25">
      <c r="A181" s="3">
        <v>46204</v>
      </c>
      <c r="B181" s="1" t="s">
        <v>39</v>
      </c>
      <c r="C181" s="1" t="s">
        <v>40</v>
      </c>
      <c r="D181" s="1" t="s">
        <v>20</v>
      </c>
      <c r="E181" s="1" t="s">
        <v>29</v>
      </c>
      <c r="F181" s="1">
        <v>13</v>
      </c>
      <c r="G181" s="1">
        <v>3540</v>
      </c>
      <c r="H181" s="1">
        <v>670</v>
      </c>
      <c r="I181" s="1">
        <v>2870</v>
      </c>
      <c r="J181" s="1">
        <v>1140</v>
      </c>
      <c r="K181" s="1">
        <v>4.9000000000000004</v>
      </c>
      <c r="L181" s="4">
        <f>Table1[[#This Row],[Net Earnings]]-Table1[[#This Row],[Fuel Cost]]</f>
        <v>1730</v>
      </c>
    </row>
    <row r="182" spans="1:12" ht="14.25" customHeight="1" x14ac:dyDescent="0.25">
      <c r="A182" s="3">
        <v>46205</v>
      </c>
      <c r="B182" s="1" t="s">
        <v>36</v>
      </c>
      <c r="C182" s="1" t="s">
        <v>37</v>
      </c>
      <c r="D182" s="1" t="s">
        <v>20</v>
      </c>
      <c r="E182" s="1" t="s">
        <v>48</v>
      </c>
      <c r="F182" s="1">
        <v>28</v>
      </c>
      <c r="G182" s="1">
        <v>7361</v>
      </c>
      <c r="H182" s="1">
        <v>1620</v>
      </c>
      <c r="I182" s="1">
        <v>5741</v>
      </c>
      <c r="J182" s="1">
        <v>1530</v>
      </c>
      <c r="K182" s="1">
        <v>4.9000000000000004</v>
      </c>
      <c r="L182" s="4">
        <f>Table1[[#This Row],[Net Earnings]]-Table1[[#This Row],[Fuel Cost]]</f>
        <v>4211</v>
      </c>
    </row>
    <row r="183" spans="1:12" ht="14.25" customHeight="1" x14ac:dyDescent="0.25">
      <c r="A183" s="3">
        <v>46206</v>
      </c>
      <c r="B183" s="1" t="s">
        <v>33</v>
      </c>
      <c r="C183" s="1" t="s">
        <v>34</v>
      </c>
      <c r="D183" s="1" t="s">
        <v>20</v>
      </c>
      <c r="E183" s="1" t="s">
        <v>26</v>
      </c>
      <c r="F183" s="1">
        <v>26</v>
      </c>
      <c r="G183" s="1">
        <v>6489</v>
      </c>
      <c r="H183" s="1">
        <v>1430</v>
      </c>
      <c r="I183" s="1">
        <v>5059</v>
      </c>
      <c r="J183" s="1">
        <v>1710</v>
      </c>
      <c r="K183" s="1">
        <v>4.8</v>
      </c>
      <c r="L183" s="4">
        <f>Table1[[#This Row],[Net Earnings]]-Table1[[#This Row],[Fuel Cost]]</f>
        <v>3349</v>
      </c>
    </row>
    <row r="184" spans="1:12" ht="14.25" customHeight="1" x14ac:dyDescent="0.25">
      <c r="A184" s="3">
        <v>46207</v>
      </c>
      <c r="B184" s="1" t="s">
        <v>30</v>
      </c>
      <c r="C184" s="1" t="s">
        <v>31</v>
      </c>
      <c r="D184" s="1" t="s">
        <v>14</v>
      </c>
      <c r="E184" s="1" t="s">
        <v>13</v>
      </c>
      <c r="F184" s="1">
        <v>28</v>
      </c>
      <c r="G184" s="1">
        <v>7721</v>
      </c>
      <c r="H184" s="1">
        <v>1540</v>
      </c>
      <c r="I184" s="1">
        <v>6181</v>
      </c>
      <c r="J184" s="1">
        <v>1620</v>
      </c>
      <c r="K184" s="1">
        <v>4.3</v>
      </c>
      <c r="L184" s="4">
        <f>Table1[[#This Row],[Net Earnings]]-Table1[[#This Row],[Fuel Cost]]</f>
        <v>4561</v>
      </c>
    </row>
    <row r="185" spans="1:12" ht="14.25" customHeight="1" x14ac:dyDescent="0.25">
      <c r="A185" s="3">
        <v>46208</v>
      </c>
      <c r="B185" s="1" t="s">
        <v>27</v>
      </c>
      <c r="C185" s="1" t="s">
        <v>28</v>
      </c>
      <c r="D185" s="1" t="s">
        <v>20</v>
      </c>
      <c r="E185" s="1" t="s">
        <v>23</v>
      </c>
      <c r="F185" s="1">
        <v>22</v>
      </c>
      <c r="G185" s="1">
        <v>5612</v>
      </c>
      <c r="H185" s="1">
        <v>1010</v>
      </c>
      <c r="I185" s="1">
        <v>4602</v>
      </c>
      <c r="J185" s="1">
        <v>1260</v>
      </c>
      <c r="K185" s="1">
        <v>4.9000000000000004</v>
      </c>
      <c r="L185" s="4">
        <f>Table1[[#This Row],[Net Earnings]]-Table1[[#This Row],[Fuel Cost]]</f>
        <v>3342</v>
      </c>
    </row>
    <row r="186" spans="1:12" ht="14.25" customHeight="1" x14ac:dyDescent="0.25">
      <c r="A186" s="3">
        <v>46209</v>
      </c>
      <c r="B186" s="1" t="s">
        <v>24</v>
      </c>
      <c r="C186" s="1" t="s">
        <v>25</v>
      </c>
      <c r="D186" s="1" t="s">
        <v>20</v>
      </c>
      <c r="E186" s="1" t="s">
        <v>47</v>
      </c>
      <c r="F186" s="1">
        <v>28</v>
      </c>
      <c r="G186" s="1">
        <v>6613</v>
      </c>
      <c r="H186" s="1">
        <v>1190</v>
      </c>
      <c r="I186" s="1">
        <v>5423</v>
      </c>
      <c r="J186" s="1">
        <v>1860</v>
      </c>
      <c r="K186" s="1">
        <v>4.7</v>
      </c>
      <c r="L186" s="4">
        <f>Table1[[#This Row],[Net Earnings]]-Table1[[#This Row],[Fuel Cost]]</f>
        <v>3563</v>
      </c>
    </row>
    <row r="187" spans="1:12" ht="14.25" customHeight="1" x14ac:dyDescent="0.25">
      <c r="A187" s="3">
        <v>46210</v>
      </c>
      <c r="B187" s="1" t="s">
        <v>21</v>
      </c>
      <c r="C187" s="1" t="s">
        <v>22</v>
      </c>
      <c r="D187" s="1" t="s">
        <v>20</v>
      </c>
      <c r="E187" s="1" t="s">
        <v>13</v>
      </c>
      <c r="F187" s="1">
        <v>27</v>
      </c>
      <c r="G187" s="1">
        <v>6754</v>
      </c>
      <c r="H187" s="1">
        <v>1280</v>
      </c>
      <c r="I187" s="1">
        <v>5474</v>
      </c>
      <c r="J187" s="1">
        <v>1700</v>
      </c>
      <c r="K187" s="1">
        <v>4.8</v>
      </c>
      <c r="L187" s="4">
        <f>Table1[[#This Row],[Net Earnings]]-Table1[[#This Row],[Fuel Cost]]</f>
        <v>3774</v>
      </c>
    </row>
    <row r="188" spans="1:12" ht="14.25" customHeight="1" x14ac:dyDescent="0.25">
      <c r="A188" s="3">
        <v>46211</v>
      </c>
      <c r="B188" s="1" t="s">
        <v>18</v>
      </c>
      <c r="C188" s="1" t="s">
        <v>19</v>
      </c>
      <c r="D188" s="1" t="s">
        <v>13</v>
      </c>
      <c r="E188" s="1" t="s">
        <v>44</v>
      </c>
      <c r="F188" s="1">
        <v>14</v>
      </c>
      <c r="G188" s="1">
        <v>3103</v>
      </c>
      <c r="H188" s="1">
        <v>680</v>
      </c>
      <c r="I188" s="1">
        <v>2423</v>
      </c>
      <c r="J188" s="1">
        <v>1290</v>
      </c>
      <c r="K188" s="1">
        <v>4.7</v>
      </c>
      <c r="L188" s="4">
        <f>Table1[[#This Row],[Net Earnings]]-Table1[[#This Row],[Fuel Cost]]</f>
        <v>1133</v>
      </c>
    </row>
    <row r="189" spans="1:12" ht="14.25" customHeight="1" x14ac:dyDescent="0.25">
      <c r="A189" s="3">
        <v>46212</v>
      </c>
      <c r="B189" s="1" t="s">
        <v>15</v>
      </c>
      <c r="C189" s="1" t="s">
        <v>16</v>
      </c>
      <c r="D189" s="1" t="s">
        <v>13</v>
      </c>
      <c r="E189" s="1" t="s">
        <v>17</v>
      </c>
      <c r="F189" s="1">
        <v>19</v>
      </c>
      <c r="G189" s="1">
        <v>5386</v>
      </c>
      <c r="H189" s="1">
        <v>1020</v>
      </c>
      <c r="I189" s="1">
        <v>4366</v>
      </c>
      <c r="J189" s="1">
        <v>1320</v>
      </c>
      <c r="K189" s="1">
        <v>4.5999999999999996</v>
      </c>
      <c r="L189" s="4">
        <f>Table1[[#This Row],[Net Earnings]]-Table1[[#This Row],[Fuel Cost]]</f>
        <v>3046</v>
      </c>
    </row>
    <row r="190" spans="1:12" ht="14.25" customHeight="1" x14ac:dyDescent="0.25">
      <c r="A190" s="3">
        <v>46213</v>
      </c>
      <c r="B190" s="1" t="s">
        <v>11</v>
      </c>
      <c r="C190" s="1" t="s">
        <v>12</v>
      </c>
      <c r="D190" s="1" t="s">
        <v>14</v>
      </c>
      <c r="E190" s="1" t="s">
        <v>41</v>
      </c>
      <c r="F190" s="1">
        <v>19</v>
      </c>
      <c r="G190" s="1">
        <v>5271</v>
      </c>
      <c r="H190" s="1">
        <v>1160</v>
      </c>
      <c r="I190" s="1">
        <v>4111</v>
      </c>
      <c r="J190" s="1">
        <v>1210</v>
      </c>
      <c r="K190" s="1">
        <v>4.8</v>
      </c>
      <c r="L190" s="4">
        <f>Table1[[#This Row],[Net Earnings]]-Table1[[#This Row],[Fuel Cost]]</f>
        <v>2901</v>
      </c>
    </row>
    <row r="191" spans="1:12" ht="14.25" customHeight="1" x14ac:dyDescent="0.25">
      <c r="A191" s="3">
        <v>46214</v>
      </c>
      <c r="B191" s="1" t="s">
        <v>45</v>
      </c>
      <c r="C191" s="1" t="s">
        <v>46</v>
      </c>
      <c r="D191" s="1" t="s">
        <v>13</v>
      </c>
      <c r="E191" s="1" t="s">
        <v>14</v>
      </c>
      <c r="F191" s="1">
        <v>12</v>
      </c>
      <c r="G191" s="1">
        <v>3218</v>
      </c>
      <c r="H191" s="1">
        <v>640</v>
      </c>
      <c r="I191" s="1">
        <v>2578</v>
      </c>
      <c r="J191" s="1">
        <v>1130</v>
      </c>
      <c r="K191" s="1">
        <v>4.5</v>
      </c>
      <c r="L191" s="4">
        <f>Table1[[#This Row],[Net Earnings]]-Table1[[#This Row],[Fuel Cost]]</f>
        <v>1448</v>
      </c>
    </row>
    <row r="192" spans="1:12" ht="14.25" customHeight="1" x14ac:dyDescent="0.25">
      <c r="A192" s="3">
        <v>46185</v>
      </c>
      <c r="B192" s="1" t="s">
        <v>42</v>
      </c>
      <c r="C192" s="1" t="s">
        <v>43</v>
      </c>
      <c r="D192" s="1" t="s">
        <v>13</v>
      </c>
      <c r="E192" s="1" t="s">
        <v>38</v>
      </c>
      <c r="F192" s="1">
        <v>11</v>
      </c>
      <c r="G192" s="1">
        <v>2892</v>
      </c>
      <c r="H192" s="1">
        <v>520</v>
      </c>
      <c r="I192" s="1">
        <v>2372</v>
      </c>
      <c r="J192" s="1">
        <v>1160</v>
      </c>
      <c r="K192" s="1">
        <v>4.4000000000000004</v>
      </c>
      <c r="L192" s="4">
        <f>Table1[[#This Row],[Net Earnings]]-Table1[[#This Row],[Fuel Cost]]</f>
        <v>1212</v>
      </c>
    </row>
    <row r="193" spans="1:12" ht="14.25" customHeight="1" x14ac:dyDescent="0.25">
      <c r="A193" s="3">
        <v>46186</v>
      </c>
      <c r="B193" s="1" t="s">
        <v>39</v>
      </c>
      <c r="C193" s="1" t="s">
        <v>40</v>
      </c>
      <c r="D193" s="1" t="s">
        <v>13</v>
      </c>
      <c r="E193" s="1" t="s">
        <v>51</v>
      </c>
      <c r="F193" s="1">
        <v>17</v>
      </c>
      <c r="G193" s="1">
        <v>4136</v>
      </c>
      <c r="H193" s="1">
        <v>910</v>
      </c>
      <c r="I193" s="1">
        <v>3226</v>
      </c>
      <c r="J193" s="1">
        <v>1250</v>
      </c>
      <c r="K193" s="1">
        <v>4.8</v>
      </c>
      <c r="L193" s="4">
        <f>Table1[[#This Row],[Net Earnings]]-Table1[[#This Row],[Fuel Cost]]</f>
        <v>1976</v>
      </c>
    </row>
    <row r="194" spans="1:12" ht="14.25" customHeight="1" x14ac:dyDescent="0.25">
      <c r="A194" s="3">
        <v>46187</v>
      </c>
      <c r="B194" s="1" t="s">
        <v>36</v>
      </c>
      <c r="C194" s="1" t="s">
        <v>37</v>
      </c>
      <c r="D194" s="1" t="s">
        <v>35</v>
      </c>
      <c r="E194" s="1" t="s">
        <v>20</v>
      </c>
      <c r="F194" s="1">
        <v>14</v>
      </c>
      <c r="G194" s="1">
        <v>3631</v>
      </c>
      <c r="H194" s="1">
        <v>800</v>
      </c>
      <c r="I194" s="1">
        <v>2831</v>
      </c>
      <c r="J194" s="1">
        <v>1230</v>
      </c>
      <c r="K194" s="1">
        <v>4.8</v>
      </c>
      <c r="L194" s="4">
        <f>Table1[[#This Row],[Net Earnings]]-Table1[[#This Row],[Fuel Cost]]</f>
        <v>1601</v>
      </c>
    </row>
    <row r="195" spans="1:12" ht="14.25" customHeight="1" x14ac:dyDescent="0.25">
      <c r="A195" s="3">
        <v>46188</v>
      </c>
      <c r="B195" s="1" t="s">
        <v>33</v>
      </c>
      <c r="C195" s="1" t="s">
        <v>34</v>
      </c>
      <c r="D195" s="1" t="s">
        <v>14</v>
      </c>
      <c r="E195" s="1" t="s">
        <v>50</v>
      </c>
      <c r="F195" s="1">
        <v>21</v>
      </c>
      <c r="G195" s="1">
        <v>5140</v>
      </c>
      <c r="H195" s="1">
        <v>1130</v>
      </c>
      <c r="I195" s="1">
        <v>4010</v>
      </c>
      <c r="J195" s="1">
        <v>1400</v>
      </c>
      <c r="K195" s="1">
        <v>4.9000000000000004</v>
      </c>
      <c r="L195" s="4">
        <f>Table1[[#This Row],[Net Earnings]]-Table1[[#This Row],[Fuel Cost]]</f>
        <v>2610</v>
      </c>
    </row>
    <row r="196" spans="1:12" ht="14.25" customHeight="1" x14ac:dyDescent="0.25">
      <c r="A196" s="3">
        <v>46189</v>
      </c>
      <c r="B196" s="1" t="s">
        <v>30</v>
      </c>
      <c r="C196" s="1" t="s">
        <v>31</v>
      </c>
      <c r="D196" s="1" t="s">
        <v>14</v>
      </c>
      <c r="E196" s="1" t="s">
        <v>32</v>
      </c>
      <c r="F196" s="1">
        <v>16</v>
      </c>
      <c r="G196" s="1">
        <v>3876</v>
      </c>
      <c r="H196" s="1">
        <v>850</v>
      </c>
      <c r="I196" s="1">
        <v>3026</v>
      </c>
      <c r="J196" s="1">
        <v>1310</v>
      </c>
      <c r="K196" s="1">
        <v>4.7</v>
      </c>
      <c r="L196" s="4">
        <f>Table1[[#This Row],[Net Earnings]]-Table1[[#This Row],[Fuel Cost]]</f>
        <v>1716</v>
      </c>
    </row>
    <row r="197" spans="1:12" ht="14.25" customHeight="1" x14ac:dyDescent="0.25">
      <c r="A197" s="3">
        <v>46190</v>
      </c>
      <c r="B197" s="1" t="s">
        <v>27</v>
      </c>
      <c r="C197" s="1" t="s">
        <v>28</v>
      </c>
      <c r="D197" s="1" t="s">
        <v>13</v>
      </c>
      <c r="E197" s="1" t="s">
        <v>49</v>
      </c>
      <c r="F197" s="1">
        <v>14</v>
      </c>
      <c r="G197" s="1">
        <v>3433</v>
      </c>
      <c r="H197" s="1">
        <v>720</v>
      </c>
      <c r="I197" s="1">
        <v>2713</v>
      </c>
      <c r="J197" s="1">
        <v>1100</v>
      </c>
      <c r="K197" s="1">
        <v>4.5999999999999996</v>
      </c>
      <c r="L197" s="4">
        <f>Table1[[#This Row],[Net Earnings]]-Table1[[#This Row],[Fuel Cost]]</f>
        <v>1613</v>
      </c>
    </row>
    <row r="198" spans="1:12" ht="14.25" customHeight="1" x14ac:dyDescent="0.25">
      <c r="A198" s="3">
        <v>46191</v>
      </c>
      <c r="B198" s="1" t="s">
        <v>24</v>
      </c>
      <c r="C198" s="1" t="s">
        <v>25</v>
      </c>
      <c r="D198" s="1" t="s">
        <v>20</v>
      </c>
      <c r="E198" s="1" t="s">
        <v>29</v>
      </c>
      <c r="F198" s="1">
        <v>24</v>
      </c>
      <c r="G198" s="1">
        <v>5534</v>
      </c>
      <c r="H198" s="1">
        <v>1220</v>
      </c>
      <c r="I198" s="1">
        <v>4314</v>
      </c>
      <c r="J198" s="1">
        <v>1620</v>
      </c>
      <c r="K198" s="1">
        <v>4.5</v>
      </c>
      <c r="L198" s="4">
        <f>Table1[[#This Row],[Net Earnings]]-Table1[[#This Row],[Fuel Cost]]</f>
        <v>2694</v>
      </c>
    </row>
    <row r="199" spans="1:12" ht="14.25" customHeight="1" x14ac:dyDescent="0.25">
      <c r="A199" s="3">
        <v>46192</v>
      </c>
      <c r="B199" s="1" t="s">
        <v>21</v>
      </c>
      <c r="C199" s="1" t="s">
        <v>22</v>
      </c>
      <c r="D199" s="1" t="s">
        <v>20</v>
      </c>
      <c r="E199" s="1" t="s">
        <v>48</v>
      </c>
      <c r="F199" s="1">
        <v>25</v>
      </c>
      <c r="G199" s="1">
        <v>6638</v>
      </c>
      <c r="H199" s="1">
        <v>1460</v>
      </c>
      <c r="I199" s="1">
        <v>5178</v>
      </c>
      <c r="J199" s="1">
        <v>1440</v>
      </c>
      <c r="K199" s="1">
        <v>4.5</v>
      </c>
      <c r="L199" s="4">
        <f>Table1[[#This Row],[Net Earnings]]-Table1[[#This Row],[Fuel Cost]]</f>
        <v>3738</v>
      </c>
    </row>
    <row r="200" spans="1:12" ht="14.25" customHeight="1" x14ac:dyDescent="0.25">
      <c r="A200" s="3">
        <v>46193</v>
      </c>
      <c r="B200" s="1" t="s">
        <v>18</v>
      </c>
      <c r="C200" s="1" t="s">
        <v>19</v>
      </c>
      <c r="D200" s="1" t="s">
        <v>20</v>
      </c>
      <c r="E200" s="1" t="s">
        <v>26</v>
      </c>
      <c r="F200" s="1">
        <v>26</v>
      </c>
      <c r="G200" s="1">
        <v>6296</v>
      </c>
      <c r="H200" s="1">
        <v>1320</v>
      </c>
      <c r="I200" s="1">
        <v>4976</v>
      </c>
      <c r="J200" s="1">
        <v>1520</v>
      </c>
      <c r="K200" s="1">
        <v>4.8</v>
      </c>
      <c r="L200" s="4">
        <f>Table1[[#This Row],[Net Earnings]]-Table1[[#This Row],[Fuel Cost]]</f>
        <v>3456</v>
      </c>
    </row>
    <row r="201" spans="1:12" ht="14.25" customHeight="1" x14ac:dyDescent="0.25">
      <c r="A201" s="3">
        <v>46194</v>
      </c>
      <c r="B201" s="1" t="s">
        <v>15</v>
      </c>
      <c r="C201" s="1" t="s">
        <v>16</v>
      </c>
      <c r="D201" s="1" t="s">
        <v>14</v>
      </c>
      <c r="E201" s="1" t="s">
        <v>13</v>
      </c>
      <c r="F201" s="1">
        <v>12</v>
      </c>
      <c r="G201" s="1">
        <v>3026</v>
      </c>
      <c r="H201" s="1">
        <v>640</v>
      </c>
      <c r="I201" s="1">
        <v>2386</v>
      </c>
      <c r="J201" s="1">
        <v>1220</v>
      </c>
      <c r="K201" s="1">
        <v>4.7</v>
      </c>
      <c r="L201" s="4">
        <f>Table1[[#This Row],[Net Earnings]]-Table1[[#This Row],[Fuel Cost]]</f>
        <v>1166</v>
      </c>
    </row>
    <row r="202" spans="1:12" ht="14.25" customHeight="1" x14ac:dyDescent="0.25">
      <c r="A202" s="3">
        <v>46215</v>
      </c>
      <c r="B202" s="1" t="s">
        <v>18</v>
      </c>
      <c r="C202" s="1" t="s">
        <v>19</v>
      </c>
      <c r="D202" s="1" t="s">
        <v>35</v>
      </c>
      <c r="E202" s="1" t="s">
        <v>20</v>
      </c>
      <c r="F202" s="1">
        <v>21</v>
      </c>
      <c r="G202" s="1">
        <v>4673</v>
      </c>
      <c r="H202" s="1">
        <v>890</v>
      </c>
      <c r="I202" s="1">
        <v>3783</v>
      </c>
      <c r="J202" s="1">
        <v>1580</v>
      </c>
      <c r="K202" s="1">
        <v>4.5</v>
      </c>
      <c r="L202" s="4">
        <f>Table1[[#This Row],[Net Earnings]]-Table1[[#This Row],[Fuel Cost]]</f>
        <v>2203</v>
      </c>
    </row>
    <row r="203" spans="1:12" ht="14.25" customHeight="1" x14ac:dyDescent="0.25">
      <c r="A203" s="3">
        <v>46216</v>
      </c>
      <c r="B203" s="1" t="s">
        <v>21</v>
      </c>
      <c r="C203" s="1" t="s">
        <v>22</v>
      </c>
      <c r="D203" s="1" t="s">
        <v>13</v>
      </c>
      <c r="E203" s="1" t="s">
        <v>38</v>
      </c>
      <c r="F203" s="1">
        <v>13</v>
      </c>
      <c r="G203" s="1">
        <v>3111</v>
      </c>
      <c r="H203" s="1">
        <v>620</v>
      </c>
      <c r="I203" s="1">
        <v>2491</v>
      </c>
      <c r="J203" s="1">
        <v>1300</v>
      </c>
      <c r="K203" s="1">
        <v>4.8</v>
      </c>
      <c r="L203" s="4">
        <f>Table1[[#This Row],[Net Earnings]]-Table1[[#This Row],[Fuel Cost]]</f>
        <v>1191</v>
      </c>
    </row>
    <row r="204" spans="1:12" ht="14.25" customHeight="1" x14ac:dyDescent="0.25">
      <c r="A204" s="3">
        <v>46217</v>
      </c>
      <c r="B204" s="1" t="s">
        <v>24</v>
      </c>
      <c r="C204" s="1" t="s">
        <v>25</v>
      </c>
      <c r="D204" s="1" t="s">
        <v>14</v>
      </c>
      <c r="E204" s="1" t="s">
        <v>41</v>
      </c>
      <c r="F204" s="1">
        <v>16</v>
      </c>
      <c r="G204" s="1">
        <v>4475</v>
      </c>
      <c r="H204" s="1">
        <v>810</v>
      </c>
      <c r="I204" s="1">
        <v>3665</v>
      </c>
      <c r="J204" s="1">
        <v>1170</v>
      </c>
      <c r="K204" s="1">
        <v>4.5999999999999996</v>
      </c>
      <c r="L204" s="4">
        <f>Table1[[#This Row],[Net Earnings]]-Table1[[#This Row],[Fuel Cost]]</f>
        <v>2495</v>
      </c>
    </row>
    <row r="205" spans="1:12" ht="14.25" customHeight="1" x14ac:dyDescent="0.25">
      <c r="A205" s="3">
        <v>46218</v>
      </c>
      <c r="B205" s="1" t="s">
        <v>27</v>
      </c>
      <c r="C205" s="1" t="s">
        <v>28</v>
      </c>
      <c r="D205" s="1" t="s">
        <v>13</v>
      </c>
      <c r="E205" s="1" t="s">
        <v>44</v>
      </c>
      <c r="F205" s="1">
        <v>21</v>
      </c>
      <c r="G205" s="1">
        <v>5303</v>
      </c>
      <c r="H205" s="1">
        <v>1060</v>
      </c>
      <c r="I205" s="1">
        <v>4243</v>
      </c>
      <c r="J205" s="1">
        <v>1380</v>
      </c>
      <c r="K205" s="1">
        <v>4.7</v>
      </c>
      <c r="L205" s="4">
        <f>Table1[[#This Row],[Net Earnings]]-Table1[[#This Row],[Fuel Cost]]</f>
        <v>2863</v>
      </c>
    </row>
    <row r="206" spans="1:12" ht="14.25" customHeight="1" x14ac:dyDescent="0.25">
      <c r="A206" s="3">
        <v>46219</v>
      </c>
      <c r="B206" s="1" t="s">
        <v>30</v>
      </c>
      <c r="C206" s="1" t="s">
        <v>31</v>
      </c>
      <c r="D206" s="1" t="s">
        <v>20</v>
      </c>
      <c r="E206" s="1" t="s">
        <v>47</v>
      </c>
      <c r="F206" s="1">
        <v>26</v>
      </c>
      <c r="G206" s="1">
        <v>5914</v>
      </c>
      <c r="H206" s="1">
        <v>1060</v>
      </c>
      <c r="I206" s="1">
        <v>4854</v>
      </c>
      <c r="J206" s="1">
        <v>1640</v>
      </c>
      <c r="K206" s="1">
        <v>4.7</v>
      </c>
      <c r="L206" s="4">
        <f>Table1[[#This Row],[Net Earnings]]-Table1[[#This Row],[Fuel Cost]]</f>
        <v>3214</v>
      </c>
    </row>
    <row r="207" spans="1:12" ht="14.25" customHeight="1" x14ac:dyDescent="0.25">
      <c r="A207" s="3">
        <v>46220</v>
      </c>
      <c r="B207" s="1" t="s">
        <v>33</v>
      </c>
      <c r="C207" s="1" t="s">
        <v>34</v>
      </c>
      <c r="D207" s="1" t="s">
        <v>14</v>
      </c>
      <c r="E207" s="1" t="s">
        <v>13</v>
      </c>
      <c r="F207" s="1">
        <v>21</v>
      </c>
      <c r="G207" s="1">
        <v>4959</v>
      </c>
      <c r="H207" s="1">
        <v>1090</v>
      </c>
      <c r="I207" s="1">
        <v>3869</v>
      </c>
      <c r="J207" s="1">
        <v>1560</v>
      </c>
      <c r="K207" s="1">
        <v>4.7</v>
      </c>
      <c r="L207" s="4">
        <f>Table1[[#This Row],[Net Earnings]]-Table1[[#This Row],[Fuel Cost]]</f>
        <v>2309</v>
      </c>
    </row>
    <row r="208" spans="1:12" ht="14.25" customHeight="1" x14ac:dyDescent="0.25">
      <c r="A208" s="3">
        <v>46221</v>
      </c>
      <c r="B208" s="1" t="s">
        <v>36</v>
      </c>
      <c r="C208" s="1" t="s">
        <v>37</v>
      </c>
      <c r="D208" s="1" t="s">
        <v>20</v>
      </c>
      <c r="E208" s="1" t="s">
        <v>48</v>
      </c>
      <c r="F208" s="1">
        <v>16</v>
      </c>
      <c r="G208" s="1">
        <v>4506</v>
      </c>
      <c r="H208" s="1">
        <v>990</v>
      </c>
      <c r="I208" s="1">
        <v>3516</v>
      </c>
      <c r="J208" s="1">
        <v>1280</v>
      </c>
      <c r="K208" s="1">
        <v>4.8</v>
      </c>
      <c r="L208" s="4">
        <f>Table1[[#This Row],[Net Earnings]]-Table1[[#This Row],[Fuel Cost]]</f>
        <v>2236</v>
      </c>
    </row>
    <row r="209" spans="1:12" ht="14.25" customHeight="1" x14ac:dyDescent="0.25">
      <c r="A209" s="3">
        <v>46222</v>
      </c>
      <c r="B209" s="1" t="s">
        <v>39</v>
      </c>
      <c r="C209" s="1" t="s">
        <v>40</v>
      </c>
      <c r="D209" s="1" t="s">
        <v>13</v>
      </c>
      <c r="E209" s="1" t="s">
        <v>49</v>
      </c>
      <c r="F209" s="1">
        <v>28</v>
      </c>
      <c r="G209" s="1">
        <v>6778</v>
      </c>
      <c r="H209" s="1">
        <v>1420</v>
      </c>
      <c r="I209" s="1">
        <v>5358</v>
      </c>
      <c r="J209" s="1">
        <v>1750</v>
      </c>
      <c r="K209" s="1">
        <v>4.7</v>
      </c>
      <c r="L209" s="4">
        <f>Table1[[#This Row],[Net Earnings]]-Table1[[#This Row],[Fuel Cost]]</f>
        <v>3608</v>
      </c>
    </row>
    <row r="210" spans="1:12" ht="14.25" customHeight="1" x14ac:dyDescent="0.25">
      <c r="A210" s="3">
        <v>46223</v>
      </c>
      <c r="B210" s="1" t="s">
        <v>42</v>
      </c>
      <c r="C210" s="1" t="s">
        <v>43</v>
      </c>
      <c r="D210" s="1" t="s">
        <v>14</v>
      </c>
      <c r="E210" s="1" t="s">
        <v>50</v>
      </c>
      <c r="F210" s="1">
        <v>22</v>
      </c>
      <c r="G210" s="1">
        <v>4987</v>
      </c>
      <c r="H210" s="1">
        <v>1000</v>
      </c>
      <c r="I210" s="1">
        <v>3987</v>
      </c>
      <c r="J210" s="1">
        <v>1330</v>
      </c>
      <c r="K210" s="1">
        <v>4.8</v>
      </c>
      <c r="L210" s="4">
        <f>Table1[[#This Row],[Net Earnings]]-Table1[[#This Row],[Fuel Cost]]</f>
        <v>2657</v>
      </c>
    </row>
    <row r="211" spans="1:12" ht="14.25" customHeight="1" x14ac:dyDescent="0.25">
      <c r="A211" s="3">
        <v>46224</v>
      </c>
      <c r="B211" s="1" t="s">
        <v>45</v>
      </c>
      <c r="C211" s="1" t="s">
        <v>46</v>
      </c>
      <c r="D211" s="1" t="s">
        <v>13</v>
      </c>
      <c r="E211" s="1" t="s">
        <v>51</v>
      </c>
      <c r="F211" s="1">
        <v>17</v>
      </c>
      <c r="G211" s="1">
        <v>4546</v>
      </c>
      <c r="H211" s="1">
        <v>860</v>
      </c>
      <c r="I211" s="1">
        <v>3686</v>
      </c>
      <c r="J211" s="1">
        <v>1270</v>
      </c>
      <c r="K211" s="1">
        <v>4.7</v>
      </c>
      <c r="L211" s="4">
        <f>Table1[[#This Row],[Net Earnings]]-Table1[[#This Row],[Fuel Cost]]</f>
        <v>2416</v>
      </c>
    </row>
    <row r="212" spans="1:12" ht="14.25" customHeight="1" x14ac:dyDescent="0.25">
      <c r="A212" s="3">
        <v>46225</v>
      </c>
      <c r="B212" s="1" t="s">
        <v>11</v>
      </c>
      <c r="C212" s="1" t="s">
        <v>12</v>
      </c>
      <c r="D212" s="1" t="s">
        <v>13</v>
      </c>
      <c r="E212" s="1" t="s">
        <v>14</v>
      </c>
      <c r="F212" s="1">
        <v>13</v>
      </c>
      <c r="G212" s="1">
        <v>3146</v>
      </c>
      <c r="H212" s="1">
        <v>630</v>
      </c>
      <c r="I212" s="1">
        <v>2516</v>
      </c>
      <c r="J212" s="1">
        <v>1300</v>
      </c>
      <c r="K212" s="1">
        <v>4.5999999999999996</v>
      </c>
      <c r="L212" s="4">
        <f>Table1[[#This Row],[Net Earnings]]-Table1[[#This Row],[Fuel Cost]]</f>
        <v>1216</v>
      </c>
    </row>
    <row r="213" spans="1:12" ht="14.25" customHeight="1" x14ac:dyDescent="0.25">
      <c r="A213" s="3">
        <v>46226</v>
      </c>
      <c r="B213" s="1" t="s">
        <v>15</v>
      </c>
      <c r="C213" s="1" t="s">
        <v>16</v>
      </c>
      <c r="D213" s="1" t="s">
        <v>13</v>
      </c>
      <c r="E213" s="1" t="s">
        <v>17</v>
      </c>
      <c r="F213" s="1">
        <v>16</v>
      </c>
      <c r="G213" s="1">
        <v>3798</v>
      </c>
      <c r="H213" s="1">
        <v>720</v>
      </c>
      <c r="I213" s="1">
        <v>3078</v>
      </c>
      <c r="J213" s="1">
        <v>1270</v>
      </c>
      <c r="K213" s="1">
        <v>4.4000000000000004</v>
      </c>
      <c r="L213" s="4">
        <f>Table1[[#This Row],[Net Earnings]]-Table1[[#This Row],[Fuel Cost]]</f>
        <v>1808</v>
      </c>
    </row>
    <row r="214" spans="1:12" ht="14.25" customHeight="1" x14ac:dyDescent="0.25">
      <c r="A214" s="3">
        <v>46227</v>
      </c>
      <c r="B214" s="1" t="s">
        <v>18</v>
      </c>
      <c r="C214" s="1" t="s">
        <v>19</v>
      </c>
      <c r="D214" s="1" t="s">
        <v>20</v>
      </c>
      <c r="E214" s="1" t="s">
        <v>13</v>
      </c>
      <c r="F214" s="1">
        <v>14</v>
      </c>
      <c r="G214" s="1">
        <v>3502</v>
      </c>
      <c r="H214" s="1">
        <v>700</v>
      </c>
      <c r="I214" s="1">
        <v>2802</v>
      </c>
      <c r="J214" s="1">
        <v>1390</v>
      </c>
      <c r="K214" s="1">
        <v>4.8</v>
      </c>
      <c r="L214" s="4">
        <f>Table1[[#This Row],[Net Earnings]]-Table1[[#This Row],[Fuel Cost]]</f>
        <v>1412</v>
      </c>
    </row>
    <row r="215" spans="1:12" ht="14.25" customHeight="1" x14ac:dyDescent="0.25">
      <c r="A215" s="3">
        <v>46228</v>
      </c>
      <c r="B215" s="1" t="s">
        <v>21</v>
      </c>
      <c r="C215" s="1" t="s">
        <v>22</v>
      </c>
      <c r="D215" s="1" t="s">
        <v>20</v>
      </c>
      <c r="E215" s="1" t="s">
        <v>23</v>
      </c>
      <c r="F215" s="1">
        <v>25</v>
      </c>
      <c r="G215" s="1">
        <v>7110</v>
      </c>
      <c r="H215" s="1">
        <v>1560</v>
      </c>
      <c r="I215" s="1">
        <v>5550</v>
      </c>
      <c r="J215" s="1">
        <v>1690</v>
      </c>
      <c r="K215" s="1">
        <v>4.3</v>
      </c>
      <c r="L215" s="4">
        <f>Table1[[#This Row],[Net Earnings]]-Table1[[#This Row],[Fuel Cost]]</f>
        <v>3860</v>
      </c>
    </row>
    <row r="216" spans="1:12" ht="14.25" customHeight="1" x14ac:dyDescent="0.25">
      <c r="A216" s="3">
        <v>46229</v>
      </c>
      <c r="B216" s="1" t="s">
        <v>24</v>
      </c>
      <c r="C216" s="1" t="s">
        <v>25</v>
      </c>
      <c r="D216" s="1" t="s">
        <v>20</v>
      </c>
      <c r="E216" s="1" t="s">
        <v>26</v>
      </c>
      <c r="F216" s="1">
        <v>26</v>
      </c>
      <c r="G216" s="1">
        <v>6641</v>
      </c>
      <c r="H216" s="1">
        <v>1200</v>
      </c>
      <c r="I216" s="1">
        <v>5441</v>
      </c>
      <c r="J216" s="1">
        <v>1590</v>
      </c>
      <c r="K216" s="1">
        <v>4.8</v>
      </c>
      <c r="L216" s="4">
        <f>Table1[[#This Row],[Net Earnings]]-Table1[[#This Row],[Fuel Cost]]</f>
        <v>3851</v>
      </c>
    </row>
    <row r="217" spans="1:12" ht="14.25" customHeight="1" x14ac:dyDescent="0.25">
      <c r="A217" s="3">
        <v>46230</v>
      </c>
      <c r="B217" s="1" t="s">
        <v>27</v>
      </c>
      <c r="C217" s="1" t="s">
        <v>28</v>
      </c>
      <c r="D217" s="1" t="s">
        <v>20</v>
      </c>
      <c r="E217" s="1" t="s">
        <v>29</v>
      </c>
      <c r="F217" s="1">
        <v>28</v>
      </c>
      <c r="G217" s="1">
        <v>7265</v>
      </c>
      <c r="H217" s="1">
        <v>1450</v>
      </c>
      <c r="I217" s="1">
        <v>5815</v>
      </c>
      <c r="J217" s="1">
        <v>1420</v>
      </c>
      <c r="K217" s="1">
        <v>4.5</v>
      </c>
      <c r="L217" s="4">
        <f>Table1[[#This Row],[Net Earnings]]-Table1[[#This Row],[Fuel Cost]]</f>
        <v>4395</v>
      </c>
    </row>
    <row r="218" spans="1:12" ht="14.25" customHeight="1" x14ac:dyDescent="0.25">
      <c r="A218" s="3">
        <v>46231</v>
      </c>
      <c r="B218" s="1" t="s">
        <v>30</v>
      </c>
      <c r="C218" s="1" t="s">
        <v>31</v>
      </c>
      <c r="D218" s="1" t="s">
        <v>14</v>
      </c>
      <c r="E218" s="1" t="s">
        <v>32</v>
      </c>
      <c r="F218" s="1">
        <v>24</v>
      </c>
      <c r="G218" s="1">
        <v>5772</v>
      </c>
      <c r="H218" s="1">
        <v>1100</v>
      </c>
      <c r="I218" s="1">
        <v>4672</v>
      </c>
      <c r="J218" s="1">
        <v>1440</v>
      </c>
      <c r="K218" s="1">
        <v>4.8</v>
      </c>
      <c r="L218" s="4">
        <f>Table1[[#This Row],[Net Earnings]]-Table1[[#This Row],[Fuel Cost]]</f>
        <v>3232</v>
      </c>
    </row>
    <row r="219" spans="1:12" ht="14.25" customHeight="1" x14ac:dyDescent="0.25">
      <c r="A219" s="3">
        <v>46232</v>
      </c>
      <c r="B219" s="1" t="s">
        <v>33</v>
      </c>
      <c r="C219" s="1" t="s">
        <v>34</v>
      </c>
      <c r="D219" s="1" t="s">
        <v>35</v>
      </c>
      <c r="E219" s="1" t="s">
        <v>20</v>
      </c>
      <c r="F219" s="1">
        <v>19</v>
      </c>
      <c r="G219" s="1">
        <v>4545</v>
      </c>
      <c r="H219" s="1">
        <v>860</v>
      </c>
      <c r="I219" s="1">
        <v>3685</v>
      </c>
      <c r="J219" s="1">
        <v>1440</v>
      </c>
      <c r="K219" s="1">
        <v>4.4000000000000004</v>
      </c>
      <c r="L219" s="4">
        <f>Table1[[#This Row],[Net Earnings]]-Table1[[#This Row],[Fuel Cost]]</f>
        <v>2245</v>
      </c>
    </row>
    <row r="220" spans="1:12" ht="14.25" customHeight="1" x14ac:dyDescent="0.25">
      <c r="A220" s="3">
        <v>46233</v>
      </c>
      <c r="B220" s="1" t="s">
        <v>36</v>
      </c>
      <c r="C220" s="1" t="s">
        <v>37</v>
      </c>
      <c r="D220" s="1" t="s">
        <v>13</v>
      </c>
      <c r="E220" s="1" t="s">
        <v>38</v>
      </c>
      <c r="F220" s="1">
        <v>16</v>
      </c>
      <c r="G220" s="1">
        <v>4362</v>
      </c>
      <c r="H220" s="1">
        <v>920</v>
      </c>
      <c r="I220" s="1">
        <v>3442</v>
      </c>
      <c r="J220" s="1">
        <v>1320</v>
      </c>
      <c r="K220" s="1">
        <v>4.8</v>
      </c>
      <c r="L220" s="4">
        <f>Table1[[#This Row],[Net Earnings]]-Table1[[#This Row],[Fuel Cost]]</f>
        <v>2122</v>
      </c>
    </row>
    <row r="221" spans="1:12" ht="14.25" customHeight="1" x14ac:dyDescent="0.25">
      <c r="A221" s="3">
        <v>46234</v>
      </c>
      <c r="B221" s="1" t="s">
        <v>39</v>
      </c>
      <c r="C221" s="1" t="s">
        <v>40</v>
      </c>
      <c r="D221" s="1" t="s">
        <v>14</v>
      </c>
      <c r="E221" s="1" t="s">
        <v>41</v>
      </c>
      <c r="F221" s="1">
        <v>14</v>
      </c>
      <c r="G221" s="1">
        <v>3287</v>
      </c>
      <c r="H221" s="1">
        <v>690</v>
      </c>
      <c r="I221" s="1">
        <v>2597</v>
      </c>
      <c r="J221" s="1">
        <v>1320</v>
      </c>
      <c r="K221" s="1">
        <v>4.5999999999999996</v>
      </c>
      <c r="L221" s="4">
        <f>Table1[[#This Row],[Net Earnings]]-Table1[[#This Row],[Fuel Cost]]</f>
        <v>1277</v>
      </c>
    </row>
    <row r="222" spans="1:12" ht="14.25" customHeight="1" x14ac:dyDescent="0.25">
      <c r="A222" s="3">
        <v>46215</v>
      </c>
      <c r="B222" s="1" t="s">
        <v>42</v>
      </c>
      <c r="C222" s="1" t="s">
        <v>43</v>
      </c>
      <c r="D222" s="1" t="s">
        <v>13</v>
      </c>
      <c r="E222" s="1" t="s">
        <v>44</v>
      </c>
      <c r="F222" s="1">
        <v>27</v>
      </c>
      <c r="G222" s="1">
        <v>7170</v>
      </c>
      <c r="H222" s="1">
        <v>1430</v>
      </c>
      <c r="I222" s="1">
        <v>5740</v>
      </c>
      <c r="J222" s="1">
        <v>1580</v>
      </c>
      <c r="K222" s="1">
        <v>4.8</v>
      </c>
      <c r="L222" s="4">
        <f>Table1[[#This Row],[Net Earnings]]-Table1[[#This Row],[Fuel Cost]]</f>
        <v>4160</v>
      </c>
    </row>
    <row r="223" spans="1:12" ht="14.25" customHeight="1" x14ac:dyDescent="0.25">
      <c r="A223" s="3">
        <v>46216</v>
      </c>
      <c r="B223" s="1" t="s">
        <v>45</v>
      </c>
      <c r="C223" s="1" t="s">
        <v>46</v>
      </c>
      <c r="D223" s="1" t="s">
        <v>20</v>
      </c>
      <c r="E223" s="1" t="s">
        <v>47</v>
      </c>
      <c r="F223" s="1">
        <v>17</v>
      </c>
      <c r="G223" s="1">
        <v>4142</v>
      </c>
      <c r="H223" s="1">
        <v>870</v>
      </c>
      <c r="I223" s="1">
        <v>3272</v>
      </c>
      <c r="J223" s="1">
        <v>1200</v>
      </c>
      <c r="K223" s="1">
        <v>4.5999999999999996</v>
      </c>
      <c r="L223" s="4">
        <f>Table1[[#This Row],[Net Earnings]]-Table1[[#This Row],[Fuel Cost]]</f>
        <v>2072</v>
      </c>
    </row>
    <row r="224" spans="1:12" ht="14.25" customHeight="1" x14ac:dyDescent="0.25">
      <c r="A224" s="3">
        <v>46217</v>
      </c>
      <c r="B224" s="1" t="s">
        <v>11</v>
      </c>
      <c r="C224" s="1" t="s">
        <v>12</v>
      </c>
      <c r="D224" s="1" t="s">
        <v>14</v>
      </c>
      <c r="E224" s="1" t="s">
        <v>13</v>
      </c>
      <c r="F224" s="1">
        <v>18</v>
      </c>
      <c r="G224" s="1">
        <v>5184</v>
      </c>
      <c r="H224" s="1">
        <v>930</v>
      </c>
      <c r="I224" s="1">
        <v>4254</v>
      </c>
      <c r="J224" s="1">
        <v>1370</v>
      </c>
      <c r="K224" s="1">
        <v>4.7</v>
      </c>
      <c r="L224" s="4">
        <f>Table1[[#This Row],[Net Earnings]]-Table1[[#This Row],[Fuel Cost]]</f>
        <v>2884</v>
      </c>
    </row>
    <row r="225" spans="1:12" ht="14.25" customHeight="1" x14ac:dyDescent="0.25">
      <c r="A225" s="3">
        <v>46218</v>
      </c>
      <c r="B225" s="1" t="s">
        <v>15</v>
      </c>
      <c r="C225" s="1" t="s">
        <v>16</v>
      </c>
      <c r="D225" s="1" t="s">
        <v>20</v>
      </c>
      <c r="E225" s="1" t="s">
        <v>48</v>
      </c>
      <c r="F225" s="1">
        <v>15</v>
      </c>
      <c r="G225" s="1">
        <v>4188</v>
      </c>
      <c r="H225" s="1">
        <v>800</v>
      </c>
      <c r="I225" s="1">
        <v>3388</v>
      </c>
      <c r="J225" s="1">
        <v>1090</v>
      </c>
      <c r="K225" s="1">
        <v>4.9000000000000004</v>
      </c>
      <c r="L225" s="4">
        <f>Table1[[#This Row],[Net Earnings]]-Table1[[#This Row],[Fuel Cost]]</f>
        <v>2298</v>
      </c>
    </row>
    <row r="226" spans="1:12" ht="14.25" customHeight="1" x14ac:dyDescent="0.25">
      <c r="A226" s="3">
        <v>46219</v>
      </c>
      <c r="B226" s="1" t="s">
        <v>18</v>
      </c>
      <c r="C226" s="1" t="s">
        <v>19</v>
      </c>
      <c r="D226" s="1" t="s">
        <v>13</v>
      </c>
      <c r="E226" s="1" t="s">
        <v>49</v>
      </c>
      <c r="F226" s="1">
        <v>24</v>
      </c>
      <c r="G226" s="1">
        <v>5870</v>
      </c>
      <c r="H226" s="1">
        <v>1230</v>
      </c>
      <c r="I226" s="1">
        <v>4640</v>
      </c>
      <c r="J226" s="1">
        <v>1670</v>
      </c>
      <c r="K226" s="1">
        <v>4.3</v>
      </c>
      <c r="L226" s="4">
        <f>Table1[[#This Row],[Net Earnings]]-Table1[[#This Row],[Fuel Cost]]</f>
        <v>2970</v>
      </c>
    </row>
    <row r="227" spans="1:12" ht="14.25" customHeight="1" x14ac:dyDescent="0.25">
      <c r="A227" s="3">
        <v>46220</v>
      </c>
      <c r="B227" s="1" t="s">
        <v>21</v>
      </c>
      <c r="C227" s="1" t="s">
        <v>22</v>
      </c>
      <c r="D227" s="1" t="s">
        <v>14</v>
      </c>
      <c r="E227" s="1" t="s">
        <v>50</v>
      </c>
      <c r="F227" s="1">
        <v>19</v>
      </c>
      <c r="G227" s="1">
        <v>4831</v>
      </c>
      <c r="H227" s="1">
        <v>970</v>
      </c>
      <c r="I227" s="1">
        <v>3861</v>
      </c>
      <c r="J227" s="1">
        <v>1400</v>
      </c>
      <c r="K227" s="1">
        <v>4.5999999999999996</v>
      </c>
      <c r="L227" s="4">
        <f>Table1[[#This Row],[Net Earnings]]-Table1[[#This Row],[Fuel Cost]]</f>
        <v>2461</v>
      </c>
    </row>
    <row r="228" spans="1:12" ht="14.25" customHeight="1" x14ac:dyDescent="0.25">
      <c r="A228" s="3">
        <v>46221</v>
      </c>
      <c r="B228" s="1" t="s">
        <v>24</v>
      </c>
      <c r="C228" s="1" t="s">
        <v>25</v>
      </c>
      <c r="D228" s="1" t="s">
        <v>13</v>
      </c>
      <c r="E228" s="1" t="s">
        <v>51</v>
      </c>
      <c r="F228" s="1">
        <v>13</v>
      </c>
      <c r="G228" s="1">
        <v>3494</v>
      </c>
      <c r="H228" s="1">
        <v>730</v>
      </c>
      <c r="I228" s="1">
        <v>2764</v>
      </c>
      <c r="J228" s="1">
        <v>1190</v>
      </c>
      <c r="K228" s="1">
        <v>4.7</v>
      </c>
      <c r="L228" s="4">
        <f>Table1[[#This Row],[Net Earnings]]-Table1[[#This Row],[Fuel Cost]]</f>
        <v>1574</v>
      </c>
    </row>
    <row r="229" spans="1:12" ht="14.25" customHeight="1" x14ac:dyDescent="0.25">
      <c r="A229" s="3">
        <v>46222</v>
      </c>
      <c r="B229" s="1" t="s">
        <v>27</v>
      </c>
      <c r="C229" s="1" t="s">
        <v>28</v>
      </c>
      <c r="D229" s="1" t="s">
        <v>13</v>
      </c>
      <c r="E229" s="1" t="s">
        <v>14</v>
      </c>
      <c r="F229" s="1">
        <v>16</v>
      </c>
      <c r="G229" s="1">
        <v>4304</v>
      </c>
      <c r="H229" s="1">
        <v>900</v>
      </c>
      <c r="I229" s="1">
        <v>3404</v>
      </c>
      <c r="J229" s="1">
        <v>1240</v>
      </c>
      <c r="K229" s="1">
        <v>4.4000000000000004</v>
      </c>
      <c r="L229" s="4">
        <f>Table1[[#This Row],[Net Earnings]]-Table1[[#This Row],[Fuel Cost]]</f>
        <v>2164</v>
      </c>
    </row>
    <row r="230" spans="1:12" ht="14.25" customHeight="1" x14ac:dyDescent="0.25">
      <c r="A230" s="3">
        <v>46223</v>
      </c>
      <c r="B230" s="1" t="s">
        <v>30</v>
      </c>
      <c r="C230" s="1" t="s">
        <v>31</v>
      </c>
      <c r="D230" s="1" t="s">
        <v>13</v>
      </c>
      <c r="E230" s="1" t="s">
        <v>17</v>
      </c>
      <c r="F230" s="1">
        <v>20</v>
      </c>
      <c r="G230" s="1">
        <v>5198</v>
      </c>
      <c r="H230" s="1">
        <v>940</v>
      </c>
      <c r="I230" s="1">
        <v>4258</v>
      </c>
      <c r="J230" s="1">
        <v>1620</v>
      </c>
      <c r="K230" s="1">
        <v>4.5</v>
      </c>
      <c r="L230" s="4">
        <f>Table1[[#This Row],[Net Earnings]]-Table1[[#This Row],[Fuel Cost]]</f>
        <v>2638</v>
      </c>
    </row>
    <row r="231" spans="1:12" ht="14.25" customHeight="1" x14ac:dyDescent="0.25">
      <c r="A231" s="3">
        <v>46224</v>
      </c>
      <c r="B231" s="1" t="s">
        <v>33</v>
      </c>
      <c r="C231" s="1" t="s">
        <v>34</v>
      </c>
      <c r="D231" s="1" t="s">
        <v>20</v>
      </c>
      <c r="E231" s="1" t="s">
        <v>13</v>
      </c>
      <c r="F231" s="1">
        <v>28</v>
      </c>
      <c r="G231" s="1">
        <v>7131</v>
      </c>
      <c r="H231" s="1">
        <v>1570</v>
      </c>
      <c r="I231" s="1">
        <v>5561</v>
      </c>
      <c r="J231" s="1">
        <v>1650</v>
      </c>
      <c r="K231" s="1">
        <v>4.9000000000000004</v>
      </c>
      <c r="L231" s="4">
        <f>Table1[[#This Row],[Net Earnings]]-Table1[[#This Row],[Fuel Cost]]</f>
        <v>3911</v>
      </c>
    </row>
    <row r="232" spans="1:12" ht="14.25" customHeight="1" x14ac:dyDescent="0.25">
      <c r="A232" s="3">
        <v>46225</v>
      </c>
      <c r="B232" s="1" t="s">
        <v>36</v>
      </c>
      <c r="C232" s="1" t="s">
        <v>37</v>
      </c>
      <c r="D232" s="1" t="s">
        <v>20</v>
      </c>
      <c r="E232" s="1" t="s">
        <v>23</v>
      </c>
      <c r="F232" s="1">
        <v>27</v>
      </c>
      <c r="G232" s="1">
        <v>6751</v>
      </c>
      <c r="H232" s="1">
        <v>1350</v>
      </c>
      <c r="I232" s="1">
        <v>5401</v>
      </c>
      <c r="J232" s="1">
        <v>1720</v>
      </c>
      <c r="K232" s="1">
        <v>4.7</v>
      </c>
      <c r="L232" s="4">
        <f>Table1[[#This Row],[Net Earnings]]-Table1[[#This Row],[Fuel Cost]]</f>
        <v>3681</v>
      </c>
    </row>
    <row r="233" spans="1:12" ht="14.25" customHeight="1" x14ac:dyDescent="0.25">
      <c r="A233" s="3">
        <v>46226</v>
      </c>
      <c r="B233" s="1" t="s">
        <v>39</v>
      </c>
      <c r="C233" s="1" t="s">
        <v>40</v>
      </c>
      <c r="D233" s="1" t="s">
        <v>20</v>
      </c>
      <c r="E233" s="1" t="s">
        <v>26</v>
      </c>
      <c r="F233" s="1">
        <v>14</v>
      </c>
      <c r="G233" s="1">
        <v>3711</v>
      </c>
      <c r="H233" s="1">
        <v>740</v>
      </c>
      <c r="I233" s="1">
        <v>2971</v>
      </c>
      <c r="J233" s="1">
        <v>1370</v>
      </c>
      <c r="K233" s="1">
        <v>4.8</v>
      </c>
      <c r="L233" s="4">
        <f>Table1[[#This Row],[Net Earnings]]-Table1[[#This Row],[Fuel Cost]]</f>
        <v>1601</v>
      </c>
    </row>
    <row r="234" spans="1:12" ht="14.25" customHeight="1" x14ac:dyDescent="0.25">
      <c r="A234" s="3">
        <v>46227</v>
      </c>
      <c r="B234" s="1" t="s">
        <v>42</v>
      </c>
      <c r="C234" s="1" t="s">
        <v>43</v>
      </c>
      <c r="D234" s="1" t="s">
        <v>20</v>
      </c>
      <c r="E234" s="1" t="s">
        <v>29</v>
      </c>
      <c r="F234" s="1">
        <v>15</v>
      </c>
      <c r="G234" s="1">
        <v>4034</v>
      </c>
      <c r="H234" s="1">
        <v>850</v>
      </c>
      <c r="I234" s="1">
        <v>3184</v>
      </c>
      <c r="J234" s="1">
        <v>1150</v>
      </c>
      <c r="K234" s="1">
        <v>4.5999999999999996</v>
      </c>
      <c r="L234" s="4">
        <f>Table1[[#This Row],[Net Earnings]]-Table1[[#This Row],[Fuel Cost]]</f>
        <v>2034</v>
      </c>
    </row>
    <row r="235" spans="1:12" ht="14.25" customHeight="1" x14ac:dyDescent="0.25">
      <c r="A235" s="3">
        <v>46228</v>
      </c>
      <c r="B235" s="1" t="s">
        <v>45</v>
      </c>
      <c r="C235" s="1" t="s">
        <v>46</v>
      </c>
      <c r="D235" s="1" t="s">
        <v>14</v>
      </c>
      <c r="E235" s="1" t="s">
        <v>32</v>
      </c>
      <c r="F235" s="1">
        <v>12</v>
      </c>
      <c r="G235" s="1">
        <v>3394</v>
      </c>
      <c r="H235" s="1">
        <v>750</v>
      </c>
      <c r="I235" s="1">
        <v>2644</v>
      </c>
      <c r="J235" s="1">
        <v>1190</v>
      </c>
      <c r="K235" s="1">
        <v>4.7</v>
      </c>
      <c r="L235" s="4">
        <f>Table1[[#This Row],[Net Earnings]]-Table1[[#This Row],[Fuel Cost]]</f>
        <v>1454</v>
      </c>
    </row>
    <row r="236" spans="1:12" ht="14.25" customHeight="1" x14ac:dyDescent="0.25">
      <c r="A236" s="3">
        <v>46229</v>
      </c>
      <c r="B236" s="1" t="s">
        <v>11</v>
      </c>
      <c r="C236" s="1" t="s">
        <v>12</v>
      </c>
      <c r="D236" s="1" t="s">
        <v>35</v>
      </c>
      <c r="E236" s="1" t="s">
        <v>20</v>
      </c>
      <c r="F236" s="1">
        <v>14</v>
      </c>
      <c r="G236" s="1">
        <v>3442</v>
      </c>
      <c r="H236" s="1">
        <v>720</v>
      </c>
      <c r="I236" s="1">
        <v>2722</v>
      </c>
      <c r="J236" s="1">
        <v>1250</v>
      </c>
      <c r="K236" s="1">
        <v>4.4000000000000004</v>
      </c>
      <c r="L236" s="4">
        <f>Table1[[#This Row],[Net Earnings]]-Table1[[#This Row],[Fuel Cost]]</f>
        <v>1472</v>
      </c>
    </row>
    <row r="237" spans="1:12" ht="14.25" customHeight="1" x14ac:dyDescent="0.25">
      <c r="A237" s="3">
        <v>46230</v>
      </c>
      <c r="B237" s="1" t="s">
        <v>15</v>
      </c>
      <c r="C237" s="1" t="s">
        <v>16</v>
      </c>
      <c r="D237" s="1" t="s">
        <v>13</v>
      </c>
      <c r="E237" s="1" t="s">
        <v>38</v>
      </c>
      <c r="F237" s="1">
        <v>14</v>
      </c>
      <c r="G237" s="1">
        <v>4126</v>
      </c>
      <c r="H237" s="1">
        <v>910</v>
      </c>
      <c r="I237" s="1">
        <v>3216</v>
      </c>
      <c r="J237" s="1">
        <v>1230</v>
      </c>
      <c r="K237" s="1">
        <v>4.5999999999999996</v>
      </c>
      <c r="L237" s="4">
        <f>Table1[[#This Row],[Net Earnings]]-Table1[[#This Row],[Fuel Cost]]</f>
        <v>1986</v>
      </c>
    </row>
    <row r="238" spans="1:12" ht="14.25" customHeight="1" x14ac:dyDescent="0.25">
      <c r="A238" s="3">
        <v>46231</v>
      </c>
      <c r="B238" s="1" t="s">
        <v>18</v>
      </c>
      <c r="C238" s="1" t="s">
        <v>19</v>
      </c>
      <c r="D238" s="1" t="s">
        <v>14</v>
      </c>
      <c r="E238" s="1" t="s">
        <v>41</v>
      </c>
      <c r="F238" s="1">
        <v>13</v>
      </c>
      <c r="G238" s="1">
        <v>3116</v>
      </c>
      <c r="H238" s="1">
        <v>690</v>
      </c>
      <c r="I238" s="1">
        <v>2426</v>
      </c>
      <c r="J238" s="1">
        <v>1110</v>
      </c>
      <c r="K238" s="1">
        <v>4.4000000000000004</v>
      </c>
      <c r="L238" s="4">
        <f>Table1[[#This Row],[Net Earnings]]-Table1[[#This Row],[Fuel Cost]]</f>
        <v>1316</v>
      </c>
    </row>
    <row r="239" spans="1:12" ht="14.25" customHeight="1" x14ac:dyDescent="0.25">
      <c r="A239" s="3">
        <v>46232</v>
      </c>
      <c r="B239" s="1" t="s">
        <v>21</v>
      </c>
      <c r="C239" s="1" t="s">
        <v>22</v>
      </c>
      <c r="D239" s="1" t="s">
        <v>13</v>
      </c>
      <c r="E239" s="1" t="s">
        <v>44</v>
      </c>
      <c r="F239" s="1">
        <v>21</v>
      </c>
      <c r="G239" s="1">
        <v>5734</v>
      </c>
      <c r="H239" s="1">
        <v>1260</v>
      </c>
      <c r="I239" s="1">
        <v>4474</v>
      </c>
      <c r="J239" s="1">
        <v>1610</v>
      </c>
      <c r="K239" s="1">
        <v>4.5999999999999996</v>
      </c>
      <c r="L239" s="4">
        <f>Table1[[#This Row],[Net Earnings]]-Table1[[#This Row],[Fuel Cost]]</f>
        <v>2864</v>
      </c>
    </row>
    <row r="240" spans="1:12" ht="14.25" customHeight="1" x14ac:dyDescent="0.25">
      <c r="A240" s="3">
        <v>46233</v>
      </c>
      <c r="B240" s="1" t="s">
        <v>24</v>
      </c>
      <c r="C240" s="1" t="s">
        <v>25</v>
      </c>
      <c r="D240" s="1" t="s">
        <v>20</v>
      </c>
      <c r="E240" s="1" t="s">
        <v>47</v>
      </c>
      <c r="F240" s="1">
        <v>27</v>
      </c>
      <c r="G240" s="1">
        <v>7704</v>
      </c>
      <c r="H240" s="1">
        <v>1690</v>
      </c>
      <c r="I240" s="1">
        <v>6014</v>
      </c>
      <c r="J240" s="1">
        <v>1630</v>
      </c>
      <c r="K240" s="1">
        <v>4.3</v>
      </c>
      <c r="L240" s="4">
        <f>Table1[[#This Row],[Net Earnings]]-Table1[[#This Row],[Fuel Cost]]</f>
        <v>4384</v>
      </c>
    </row>
    <row r="241" spans="1:12" ht="14.25" customHeight="1" x14ac:dyDescent="0.25">
      <c r="A241" s="3">
        <v>46234</v>
      </c>
      <c r="B241" s="1" t="s">
        <v>27</v>
      </c>
      <c r="C241" s="1" t="s">
        <v>28</v>
      </c>
      <c r="D241" s="1" t="s">
        <v>14</v>
      </c>
      <c r="E241" s="1" t="s">
        <v>13</v>
      </c>
      <c r="F241" s="1">
        <v>22</v>
      </c>
      <c r="G241" s="1">
        <v>5460</v>
      </c>
      <c r="H241" s="1">
        <v>1040</v>
      </c>
      <c r="I241" s="1">
        <v>4420</v>
      </c>
      <c r="J241" s="1">
        <v>1290</v>
      </c>
      <c r="K241" s="1">
        <v>4.7</v>
      </c>
      <c r="L241" s="4">
        <f>Table1[[#This Row],[Net Earnings]]-Table1[[#This Row],[Fuel Cost]]</f>
        <v>3130</v>
      </c>
    </row>
    <row r="242" spans="1:12" ht="14.25" customHeight="1" x14ac:dyDescent="0.25">
      <c r="A242" s="3">
        <v>46215</v>
      </c>
      <c r="B242" s="1" t="s">
        <v>30</v>
      </c>
      <c r="C242" s="1" t="s">
        <v>31</v>
      </c>
      <c r="D242" s="1" t="s">
        <v>20</v>
      </c>
      <c r="E242" s="1" t="s">
        <v>48</v>
      </c>
      <c r="F242" s="1">
        <v>16</v>
      </c>
      <c r="G242" s="1">
        <v>3872</v>
      </c>
      <c r="H242" s="1">
        <v>740</v>
      </c>
      <c r="I242" s="1">
        <v>3132</v>
      </c>
      <c r="J242" s="1">
        <v>1250</v>
      </c>
      <c r="K242" s="1">
        <v>4.5999999999999996</v>
      </c>
      <c r="L242" s="4">
        <f>Table1[[#This Row],[Net Earnings]]-Table1[[#This Row],[Fuel Cost]]</f>
        <v>1882</v>
      </c>
    </row>
    <row r="243" spans="1:12" ht="14.25" customHeight="1" x14ac:dyDescent="0.25">
      <c r="A243" s="3">
        <v>46216</v>
      </c>
      <c r="B243" s="1" t="s">
        <v>33</v>
      </c>
      <c r="C243" s="1" t="s">
        <v>34</v>
      </c>
      <c r="D243" s="1" t="s">
        <v>13</v>
      </c>
      <c r="E243" s="1" t="s">
        <v>49</v>
      </c>
      <c r="F243" s="1">
        <v>16</v>
      </c>
      <c r="G243" s="1">
        <v>3536</v>
      </c>
      <c r="H243" s="1">
        <v>780</v>
      </c>
      <c r="I243" s="1">
        <v>2756</v>
      </c>
      <c r="J243" s="1">
        <v>1240</v>
      </c>
      <c r="K243" s="1">
        <v>4.4000000000000004</v>
      </c>
      <c r="L243" s="4">
        <f>Table1[[#This Row],[Net Earnings]]-Table1[[#This Row],[Fuel Cost]]</f>
        <v>1516</v>
      </c>
    </row>
    <row r="244" spans="1:12" ht="14.25" customHeight="1" x14ac:dyDescent="0.25">
      <c r="A244" s="3">
        <v>46217</v>
      </c>
      <c r="B244" s="1" t="s">
        <v>36</v>
      </c>
      <c r="C244" s="1" t="s">
        <v>37</v>
      </c>
      <c r="D244" s="1" t="s">
        <v>14</v>
      </c>
      <c r="E244" s="1" t="s">
        <v>50</v>
      </c>
      <c r="F244" s="1">
        <v>15</v>
      </c>
      <c r="G244" s="1">
        <v>3854</v>
      </c>
      <c r="H244" s="1">
        <v>850</v>
      </c>
      <c r="I244" s="1">
        <v>3004</v>
      </c>
      <c r="J244" s="1">
        <v>1330</v>
      </c>
      <c r="K244" s="1">
        <v>4.5999999999999996</v>
      </c>
      <c r="L244" s="4">
        <f>Table1[[#This Row],[Net Earnings]]-Table1[[#This Row],[Fuel Cost]]</f>
        <v>1674</v>
      </c>
    </row>
    <row r="245" spans="1:12" ht="14.25" customHeight="1" x14ac:dyDescent="0.25">
      <c r="A245" s="3">
        <v>46218</v>
      </c>
      <c r="B245" s="1" t="s">
        <v>39</v>
      </c>
      <c r="C245" s="1" t="s">
        <v>40</v>
      </c>
      <c r="D245" s="1" t="s">
        <v>13</v>
      </c>
      <c r="E245" s="1" t="s">
        <v>51</v>
      </c>
      <c r="F245" s="1">
        <v>13</v>
      </c>
      <c r="G245" s="1">
        <v>3652</v>
      </c>
      <c r="H245" s="1">
        <v>800</v>
      </c>
      <c r="I245" s="1">
        <v>2852</v>
      </c>
      <c r="J245" s="1">
        <v>1140</v>
      </c>
      <c r="K245" s="1">
        <v>4.4000000000000004</v>
      </c>
      <c r="L245" s="4">
        <f>Table1[[#This Row],[Net Earnings]]-Table1[[#This Row],[Fuel Cost]]</f>
        <v>1712</v>
      </c>
    </row>
    <row r="246" spans="1:12" ht="14.25" customHeight="1" x14ac:dyDescent="0.25">
      <c r="A246" s="3">
        <v>46219</v>
      </c>
      <c r="B246" s="1" t="s">
        <v>42</v>
      </c>
      <c r="C246" s="1" t="s">
        <v>43</v>
      </c>
      <c r="D246" s="1" t="s">
        <v>13</v>
      </c>
      <c r="E246" s="1" t="s">
        <v>14</v>
      </c>
      <c r="F246" s="1">
        <v>22</v>
      </c>
      <c r="G246" s="1">
        <v>6221</v>
      </c>
      <c r="H246" s="1">
        <v>1120</v>
      </c>
      <c r="I246" s="1">
        <v>5101</v>
      </c>
      <c r="J246" s="1">
        <v>1590</v>
      </c>
      <c r="K246" s="1">
        <v>4.7</v>
      </c>
      <c r="L246" s="4">
        <f>Table1[[#This Row],[Net Earnings]]-Table1[[#This Row],[Fuel Cost]]</f>
        <v>3511</v>
      </c>
    </row>
    <row r="247" spans="1:12" ht="14.25" customHeight="1" x14ac:dyDescent="0.25">
      <c r="A247" s="3">
        <v>46220</v>
      </c>
      <c r="B247" s="1" t="s">
        <v>45</v>
      </c>
      <c r="C247" s="1" t="s">
        <v>46</v>
      </c>
      <c r="D247" s="1" t="s">
        <v>13</v>
      </c>
      <c r="E247" s="1" t="s">
        <v>17</v>
      </c>
      <c r="F247" s="1">
        <v>21</v>
      </c>
      <c r="G247" s="1">
        <v>4864</v>
      </c>
      <c r="H247" s="1">
        <v>880</v>
      </c>
      <c r="I247" s="1">
        <v>3984</v>
      </c>
      <c r="J247" s="1">
        <v>1520</v>
      </c>
      <c r="K247" s="1">
        <v>4.7</v>
      </c>
      <c r="L247" s="4">
        <f>Table1[[#This Row],[Net Earnings]]-Table1[[#This Row],[Fuel Cost]]</f>
        <v>2464</v>
      </c>
    </row>
    <row r="248" spans="1:12" ht="14.25" customHeight="1" x14ac:dyDescent="0.25">
      <c r="A248" s="3">
        <v>46221</v>
      </c>
      <c r="B248" s="1" t="s">
        <v>11</v>
      </c>
      <c r="C248" s="1" t="s">
        <v>12</v>
      </c>
      <c r="D248" s="1" t="s">
        <v>20</v>
      </c>
      <c r="E248" s="1" t="s">
        <v>13</v>
      </c>
      <c r="F248" s="1">
        <v>25</v>
      </c>
      <c r="G248" s="1">
        <v>6607</v>
      </c>
      <c r="H248" s="1">
        <v>1260</v>
      </c>
      <c r="I248" s="1">
        <v>5347</v>
      </c>
      <c r="J248" s="1">
        <v>1550</v>
      </c>
      <c r="K248" s="1">
        <v>4.8</v>
      </c>
      <c r="L248" s="4">
        <f>Table1[[#This Row],[Net Earnings]]-Table1[[#This Row],[Fuel Cost]]</f>
        <v>3797</v>
      </c>
    </row>
    <row r="249" spans="1:12" ht="14.25" customHeight="1" x14ac:dyDescent="0.25">
      <c r="A249" s="3">
        <v>46222</v>
      </c>
      <c r="B249" s="1" t="s">
        <v>15</v>
      </c>
      <c r="C249" s="1" t="s">
        <v>16</v>
      </c>
      <c r="D249" s="1" t="s">
        <v>20</v>
      </c>
      <c r="E249" s="1" t="s">
        <v>23</v>
      </c>
      <c r="F249" s="1">
        <v>18</v>
      </c>
      <c r="G249" s="1">
        <v>4996</v>
      </c>
      <c r="H249" s="1">
        <v>1100</v>
      </c>
      <c r="I249" s="1">
        <v>3896</v>
      </c>
      <c r="J249" s="1">
        <v>1390</v>
      </c>
      <c r="K249" s="1">
        <v>4.8</v>
      </c>
      <c r="L249" s="4">
        <f>Table1[[#This Row],[Net Earnings]]-Table1[[#This Row],[Fuel Cost]]</f>
        <v>2506</v>
      </c>
    </row>
    <row r="250" spans="1:12" ht="14.25" customHeight="1" x14ac:dyDescent="0.25">
      <c r="A250" s="3">
        <v>46223</v>
      </c>
      <c r="B250" s="1" t="s">
        <v>18</v>
      </c>
      <c r="C250" s="1" t="s">
        <v>19</v>
      </c>
      <c r="D250" s="1" t="s">
        <v>20</v>
      </c>
      <c r="E250" s="1" t="s">
        <v>26</v>
      </c>
      <c r="F250" s="1">
        <v>26</v>
      </c>
      <c r="G250" s="1">
        <v>6706</v>
      </c>
      <c r="H250" s="1">
        <v>1270</v>
      </c>
      <c r="I250" s="1">
        <v>5436</v>
      </c>
      <c r="J250" s="1">
        <v>1520</v>
      </c>
      <c r="K250" s="1">
        <v>4.8</v>
      </c>
      <c r="L250" s="4">
        <f>Table1[[#This Row],[Net Earnings]]-Table1[[#This Row],[Fuel Cost]]</f>
        <v>3916</v>
      </c>
    </row>
    <row r="251" spans="1:12" ht="14.25" customHeight="1" x14ac:dyDescent="0.25">
      <c r="A251" s="3">
        <v>46224</v>
      </c>
      <c r="B251" s="1" t="s">
        <v>21</v>
      </c>
      <c r="C251" s="1" t="s">
        <v>22</v>
      </c>
      <c r="D251" s="1" t="s">
        <v>20</v>
      </c>
      <c r="E251" s="1" t="s">
        <v>29</v>
      </c>
      <c r="F251" s="1">
        <v>22</v>
      </c>
      <c r="G251" s="1">
        <v>6385</v>
      </c>
      <c r="H251" s="1">
        <v>1210</v>
      </c>
      <c r="I251" s="1">
        <v>5175</v>
      </c>
      <c r="J251" s="1">
        <v>1360</v>
      </c>
      <c r="K251" s="1">
        <v>4.5999999999999996</v>
      </c>
      <c r="L251" s="4">
        <f>Table1[[#This Row],[Net Earnings]]-Table1[[#This Row],[Fuel Cost]]</f>
        <v>3815</v>
      </c>
    </row>
    <row r="252" spans="1:12" ht="14.25" customHeight="1" x14ac:dyDescent="0.25">
      <c r="A252" s="3">
        <v>46225</v>
      </c>
      <c r="B252" s="1" t="s">
        <v>24</v>
      </c>
      <c r="C252" s="1" t="s">
        <v>25</v>
      </c>
      <c r="D252" s="1" t="s">
        <v>14</v>
      </c>
      <c r="E252" s="1" t="s">
        <v>32</v>
      </c>
      <c r="F252" s="1">
        <v>17</v>
      </c>
      <c r="G252" s="1">
        <v>4228</v>
      </c>
      <c r="H252" s="1">
        <v>890</v>
      </c>
      <c r="I252" s="1">
        <v>3338</v>
      </c>
      <c r="J252" s="1">
        <v>1290</v>
      </c>
      <c r="K252" s="1">
        <v>4.5</v>
      </c>
      <c r="L252" s="4">
        <f>Table1[[#This Row],[Net Earnings]]-Table1[[#This Row],[Fuel Cost]]</f>
        <v>2048</v>
      </c>
    </row>
    <row r="253" spans="1:12" ht="14.25" customHeight="1" x14ac:dyDescent="0.25">
      <c r="A253" s="3">
        <v>46226</v>
      </c>
      <c r="B253" s="1" t="s">
        <v>27</v>
      </c>
      <c r="C253" s="1" t="s">
        <v>28</v>
      </c>
      <c r="D253" s="1" t="s">
        <v>35</v>
      </c>
      <c r="E253" s="1" t="s">
        <v>20</v>
      </c>
      <c r="F253" s="1">
        <v>26</v>
      </c>
      <c r="G253" s="1">
        <v>7321</v>
      </c>
      <c r="H253" s="1">
        <v>1540</v>
      </c>
      <c r="I253" s="1">
        <v>5781</v>
      </c>
      <c r="J253" s="1">
        <v>1620</v>
      </c>
      <c r="K253" s="1">
        <v>4.4000000000000004</v>
      </c>
      <c r="L253" s="4">
        <f>Table1[[#This Row],[Net Earnings]]-Table1[[#This Row],[Fuel Cost]]</f>
        <v>4161</v>
      </c>
    </row>
    <row r="254" spans="1:12" ht="14.25" customHeight="1" x14ac:dyDescent="0.25">
      <c r="A254" s="3">
        <v>46227</v>
      </c>
      <c r="B254" s="1" t="s">
        <v>30</v>
      </c>
      <c r="C254" s="1" t="s">
        <v>31</v>
      </c>
      <c r="D254" s="1" t="s">
        <v>13</v>
      </c>
      <c r="E254" s="1" t="s">
        <v>38</v>
      </c>
      <c r="F254" s="1">
        <v>17</v>
      </c>
      <c r="G254" s="1">
        <v>4302</v>
      </c>
      <c r="H254" s="1">
        <v>860</v>
      </c>
      <c r="I254" s="1">
        <v>3442</v>
      </c>
      <c r="J254" s="1">
        <v>1420</v>
      </c>
      <c r="K254" s="1">
        <v>4.3</v>
      </c>
      <c r="L254" s="4">
        <f>Table1[[#This Row],[Net Earnings]]-Table1[[#This Row],[Fuel Cost]]</f>
        <v>2022</v>
      </c>
    </row>
    <row r="255" spans="1:12" ht="14.25" customHeight="1" x14ac:dyDescent="0.25">
      <c r="A255" s="3">
        <v>46228</v>
      </c>
      <c r="B255" s="1" t="s">
        <v>33</v>
      </c>
      <c r="C255" s="1" t="s">
        <v>34</v>
      </c>
      <c r="D255" s="1" t="s">
        <v>14</v>
      </c>
      <c r="E255" s="1" t="s">
        <v>41</v>
      </c>
      <c r="F255" s="1">
        <v>17</v>
      </c>
      <c r="G255" s="1">
        <v>4600</v>
      </c>
      <c r="H255" s="1">
        <v>870</v>
      </c>
      <c r="I255" s="1">
        <v>3730</v>
      </c>
      <c r="J255" s="1">
        <v>1410</v>
      </c>
      <c r="K255" s="1">
        <v>4.8</v>
      </c>
      <c r="L255" s="4">
        <f>Table1[[#This Row],[Net Earnings]]-Table1[[#This Row],[Fuel Cost]]</f>
        <v>2320</v>
      </c>
    </row>
    <row r="256" spans="1:12" ht="14.25" customHeight="1" x14ac:dyDescent="0.25">
      <c r="A256" s="3">
        <v>46229</v>
      </c>
      <c r="B256" s="1" t="s">
        <v>36</v>
      </c>
      <c r="C256" s="1" t="s">
        <v>37</v>
      </c>
      <c r="D256" s="1" t="s">
        <v>13</v>
      </c>
      <c r="E256" s="1" t="s">
        <v>44</v>
      </c>
      <c r="F256" s="1">
        <v>28</v>
      </c>
      <c r="G256" s="1">
        <v>6283</v>
      </c>
      <c r="H256" s="1">
        <v>1380</v>
      </c>
      <c r="I256" s="1">
        <v>4903</v>
      </c>
      <c r="J256" s="1">
        <v>1790</v>
      </c>
      <c r="K256" s="1">
        <v>4.4000000000000004</v>
      </c>
      <c r="L256" s="4">
        <f>Table1[[#This Row],[Net Earnings]]-Table1[[#This Row],[Fuel Cost]]</f>
        <v>3113</v>
      </c>
    </row>
    <row r="257" spans="1:12" ht="14.25" customHeight="1" x14ac:dyDescent="0.25">
      <c r="A257" s="3">
        <v>46230</v>
      </c>
      <c r="B257" s="1" t="s">
        <v>39</v>
      </c>
      <c r="C257" s="1" t="s">
        <v>40</v>
      </c>
      <c r="D257" s="1" t="s">
        <v>20</v>
      </c>
      <c r="E257" s="1" t="s">
        <v>47</v>
      </c>
      <c r="F257" s="1">
        <v>17</v>
      </c>
      <c r="G257" s="1">
        <v>4204</v>
      </c>
      <c r="H257" s="1">
        <v>920</v>
      </c>
      <c r="I257" s="1">
        <v>3284</v>
      </c>
      <c r="J257" s="1">
        <v>1410</v>
      </c>
      <c r="K257" s="1">
        <v>4.5</v>
      </c>
      <c r="L257" s="4">
        <f>Table1[[#This Row],[Net Earnings]]-Table1[[#This Row],[Fuel Cost]]</f>
        <v>1874</v>
      </c>
    </row>
    <row r="258" spans="1:12" ht="14.25" customHeight="1" x14ac:dyDescent="0.25">
      <c r="A258" s="3">
        <v>46231</v>
      </c>
      <c r="B258" s="1" t="s">
        <v>42</v>
      </c>
      <c r="C258" s="1" t="s">
        <v>43</v>
      </c>
      <c r="D258" s="1" t="s">
        <v>14</v>
      </c>
      <c r="E258" s="1" t="s">
        <v>13</v>
      </c>
      <c r="F258" s="1">
        <v>24</v>
      </c>
      <c r="G258" s="1">
        <v>6221</v>
      </c>
      <c r="H258" s="1">
        <v>1120</v>
      </c>
      <c r="I258" s="1">
        <v>5101</v>
      </c>
      <c r="J258" s="1">
        <v>1650</v>
      </c>
      <c r="K258" s="1">
        <v>4.8</v>
      </c>
      <c r="L258" s="4">
        <f>Table1[[#This Row],[Net Earnings]]-Table1[[#This Row],[Fuel Cost]]</f>
        <v>3451</v>
      </c>
    </row>
    <row r="259" spans="1:12" ht="14.25" customHeight="1" x14ac:dyDescent="0.25">
      <c r="A259" s="3">
        <v>46232</v>
      </c>
      <c r="B259" s="1" t="s">
        <v>45</v>
      </c>
      <c r="C259" s="1" t="s">
        <v>46</v>
      </c>
      <c r="D259" s="1" t="s">
        <v>20</v>
      </c>
      <c r="E259" s="1" t="s">
        <v>48</v>
      </c>
      <c r="F259" s="1">
        <v>25</v>
      </c>
      <c r="G259" s="1">
        <v>6474</v>
      </c>
      <c r="H259" s="1">
        <v>1290</v>
      </c>
      <c r="I259" s="1">
        <v>5184</v>
      </c>
      <c r="J259" s="1">
        <v>1470</v>
      </c>
      <c r="K259" s="1">
        <v>4.8</v>
      </c>
      <c r="L259" s="4">
        <f>Table1[[#This Row],[Net Earnings]]-Table1[[#This Row],[Fuel Cost]]</f>
        <v>3714</v>
      </c>
    </row>
    <row r="260" spans="1:12" ht="14.25" customHeight="1" x14ac:dyDescent="0.25">
      <c r="A260" s="3">
        <v>46233</v>
      </c>
      <c r="B260" s="1" t="s">
        <v>11</v>
      </c>
      <c r="C260" s="1" t="s">
        <v>12</v>
      </c>
      <c r="D260" s="1" t="s">
        <v>13</v>
      </c>
      <c r="E260" s="1" t="s">
        <v>49</v>
      </c>
      <c r="F260" s="1">
        <v>25</v>
      </c>
      <c r="G260" s="1">
        <v>6724</v>
      </c>
      <c r="H260" s="1">
        <v>1280</v>
      </c>
      <c r="I260" s="1">
        <v>5444</v>
      </c>
      <c r="J260" s="1">
        <v>1400</v>
      </c>
      <c r="K260" s="1">
        <v>4.3</v>
      </c>
      <c r="L260" s="4">
        <f>Table1[[#This Row],[Net Earnings]]-Table1[[#This Row],[Fuel Cost]]</f>
        <v>4044</v>
      </c>
    </row>
    <row r="261" spans="1:12" ht="14.25" customHeight="1" x14ac:dyDescent="0.25">
      <c r="A261" s="3">
        <v>46234</v>
      </c>
      <c r="B261" s="1" t="s">
        <v>15</v>
      </c>
      <c r="C261" s="1" t="s">
        <v>16</v>
      </c>
      <c r="D261" s="1" t="s">
        <v>14</v>
      </c>
      <c r="E261" s="1" t="s">
        <v>50</v>
      </c>
      <c r="F261" s="1">
        <v>21</v>
      </c>
      <c r="G261" s="1">
        <v>4978</v>
      </c>
      <c r="H261" s="1">
        <v>900</v>
      </c>
      <c r="I261" s="1">
        <v>4078</v>
      </c>
      <c r="J261" s="1">
        <v>1540</v>
      </c>
      <c r="K261" s="1">
        <v>4.4000000000000004</v>
      </c>
      <c r="L261" s="4">
        <f>Table1[[#This Row],[Net Earnings]]-Table1[[#This Row],[Fuel Cost]]</f>
        <v>2538</v>
      </c>
    </row>
    <row r="262" spans="1:12" ht="14.25" customHeight="1" x14ac:dyDescent="0.25">
      <c r="A262" s="3">
        <v>46215</v>
      </c>
      <c r="B262" s="1" t="s">
        <v>18</v>
      </c>
      <c r="C262" s="1" t="s">
        <v>19</v>
      </c>
      <c r="D262" s="1" t="s">
        <v>13</v>
      </c>
      <c r="E262" s="1" t="s">
        <v>51</v>
      </c>
      <c r="F262" s="1">
        <v>24</v>
      </c>
      <c r="G262" s="1">
        <v>5633</v>
      </c>
      <c r="H262" s="1">
        <v>1010</v>
      </c>
      <c r="I262" s="1">
        <v>4623</v>
      </c>
      <c r="J262" s="1">
        <v>1450</v>
      </c>
      <c r="K262" s="1">
        <v>4.4000000000000004</v>
      </c>
      <c r="L262" s="4">
        <f>Table1[[#This Row],[Net Earnings]]-Table1[[#This Row],[Fuel Cost]]</f>
        <v>3173</v>
      </c>
    </row>
    <row r="263" spans="1:12" ht="14.25" customHeight="1" x14ac:dyDescent="0.25">
      <c r="A263" s="3">
        <v>46216</v>
      </c>
      <c r="B263" s="1" t="s">
        <v>21</v>
      </c>
      <c r="C263" s="1" t="s">
        <v>22</v>
      </c>
      <c r="D263" s="1" t="s">
        <v>13</v>
      </c>
      <c r="E263" s="1" t="s">
        <v>14</v>
      </c>
      <c r="F263" s="1">
        <v>18</v>
      </c>
      <c r="G263" s="1">
        <v>4280</v>
      </c>
      <c r="H263" s="1">
        <v>770</v>
      </c>
      <c r="I263" s="1">
        <v>3510</v>
      </c>
      <c r="J263" s="1">
        <v>1550</v>
      </c>
      <c r="K263" s="1">
        <v>4.4000000000000004</v>
      </c>
      <c r="L263" s="4">
        <f>Table1[[#This Row],[Net Earnings]]-Table1[[#This Row],[Fuel Cost]]</f>
        <v>1960</v>
      </c>
    </row>
    <row r="264" spans="1:12" ht="14.25" customHeight="1" x14ac:dyDescent="0.25">
      <c r="A264" s="3">
        <v>46217</v>
      </c>
      <c r="B264" s="1" t="s">
        <v>24</v>
      </c>
      <c r="C264" s="1" t="s">
        <v>25</v>
      </c>
      <c r="D264" s="1" t="s">
        <v>13</v>
      </c>
      <c r="E264" s="1" t="s">
        <v>17</v>
      </c>
      <c r="F264" s="1">
        <v>12</v>
      </c>
      <c r="G264" s="1">
        <v>2840</v>
      </c>
      <c r="H264" s="1">
        <v>540</v>
      </c>
      <c r="I264" s="1">
        <v>2300</v>
      </c>
      <c r="J264" s="1">
        <v>1240</v>
      </c>
      <c r="K264" s="1">
        <v>4.3</v>
      </c>
      <c r="L264" s="4">
        <f>Table1[[#This Row],[Net Earnings]]-Table1[[#This Row],[Fuel Cost]]</f>
        <v>1060</v>
      </c>
    </row>
    <row r="265" spans="1:12" ht="14.25" customHeight="1" x14ac:dyDescent="0.25">
      <c r="A265" s="3">
        <v>46218</v>
      </c>
      <c r="B265" s="1" t="s">
        <v>27</v>
      </c>
      <c r="C265" s="1" t="s">
        <v>28</v>
      </c>
      <c r="D265" s="1" t="s">
        <v>20</v>
      </c>
      <c r="E265" s="1" t="s">
        <v>13</v>
      </c>
      <c r="F265" s="1">
        <v>24</v>
      </c>
      <c r="G265" s="1">
        <v>6900</v>
      </c>
      <c r="H265" s="1">
        <v>1310</v>
      </c>
      <c r="I265" s="1">
        <v>5590</v>
      </c>
      <c r="J265" s="1">
        <v>1400</v>
      </c>
      <c r="K265" s="1">
        <v>4.4000000000000004</v>
      </c>
      <c r="L265" s="4">
        <f>Table1[[#This Row],[Net Earnings]]-Table1[[#This Row],[Fuel Cost]]</f>
        <v>4190</v>
      </c>
    </row>
    <row r="266" spans="1:12" ht="14.25" customHeight="1" x14ac:dyDescent="0.25">
      <c r="A266" s="3">
        <v>46219</v>
      </c>
      <c r="B266" s="1" t="s">
        <v>30</v>
      </c>
      <c r="C266" s="1" t="s">
        <v>31</v>
      </c>
      <c r="D266" s="1" t="s">
        <v>20</v>
      </c>
      <c r="E266" s="1" t="s">
        <v>23</v>
      </c>
      <c r="F266" s="1">
        <v>15</v>
      </c>
      <c r="G266" s="1">
        <v>3863</v>
      </c>
      <c r="H266" s="1">
        <v>850</v>
      </c>
      <c r="I266" s="1">
        <v>3013</v>
      </c>
      <c r="J266" s="1">
        <v>1340</v>
      </c>
      <c r="K266" s="1">
        <v>4.9000000000000004</v>
      </c>
      <c r="L266" s="4">
        <f>Table1[[#This Row],[Net Earnings]]-Table1[[#This Row],[Fuel Cost]]</f>
        <v>1673</v>
      </c>
    </row>
    <row r="267" spans="1:12" ht="14.25" customHeight="1" x14ac:dyDescent="0.25">
      <c r="A267" s="3">
        <v>46220</v>
      </c>
      <c r="B267" s="1" t="s">
        <v>33</v>
      </c>
      <c r="C267" s="1" t="s">
        <v>34</v>
      </c>
      <c r="D267" s="1" t="s">
        <v>20</v>
      </c>
      <c r="E267" s="1" t="s">
        <v>26</v>
      </c>
      <c r="F267" s="1">
        <v>14</v>
      </c>
      <c r="G267" s="1">
        <v>3280</v>
      </c>
      <c r="H267" s="1">
        <v>720</v>
      </c>
      <c r="I267" s="1">
        <v>2560</v>
      </c>
      <c r="J267" s="1">
        <v>1330</v>
      </c>
      <c r="K267" s="1">
        <v>4.4000000000000004</v>
      </c>
      <c r="L267" s="4">
        <f>Table1[[#This Row],[Net Earnings]]-Table1[[#This Row],[Fuel Cost]]</f>
        <v>1230</v>
      </c>
    </row>
    <row r="268" spans="1:12" ht="14.25" customHeight="1" x14ac:dyDescent="0.25">
      <c r="A268" s="3">
        <v>46221</v>
      </c>
      <c r="B268" s="1" t="s">
        <v>36</v>
      </c>
      <c r="C268" s="1" t="s">
        <v>37</v>
      </c>
      <c r="D268" s="1" t="s">
        <v>20</v>
      </c>
      <c r="E268" s="1" t="s">
        <v>29</v>
      </c>
      <c r="F268" s="1">
        <v>19</v>
      </c>
      <c r="G268" s="1">
        <v>5469</v>
      </c>
      <c r="H268" s="1">
        <v>980</v>
      </c>
      <c r="I268" s="1">
        <v>4489</v>
      </c>
      <c r="J268" s="1">
        <v>1360</v>
      </c>
      <c r="K268" s="1">
        <v>4.4000000000000004</v>
      </c>
      <c r="L268" s="4">
        <f>Table1[[#This Row],[Net Earnings]]-Table1[[#This Row],[Fuel Cost]]</f>
        <v>3129</v>
      </c>
    </row>
    <row r="269" spans="1:12" ht="14.25" customHeight="1" x14ac:dyDescent="0.25">
      <c r="A269" s="3">
        <v>46222</v>
      </c>
      <c r="B269" s="1" t="s">
        <v>39</v>
      </c>
      <c r="C269" s="1" t="s">
        <v>40</v>
      </c>
      <c r="D269" s="1" t="s">
        <v>14</v>
      </c>
      <c r="E269" s="1" t="s">
        <v>32</v>
      </c>
      <c r="F269" s="1">
        <v>26</v>
      </c>
      <c r="G269" s="1">
        <v>5910</v>
      </c>
      <c r="H269" s="1">
        <v>1240</v>
      </c>
      <c r="I269" s="1">
        <v>4670</v>
      </c>
      <c r="J269" s="1">
        <v>1520</v>
      </c>
      <c r="K269" s="1">
        <v>4.9000000000000004</v>
      </c>
      <c r="L269" s="4">
        <f>Table1[[#This Row],[Net Earnings]]-Table1[[#This Row],[Fuel Cost]]</f>
        <v>3150</v>
      </c>
    </row>
    <row r="270" spans="1:12" ht="14.25" customHeight="1" x14ac:dyDescent="0.25">
      <c r="A270" s="3">
        <v>46223</v>
      </c>
      <c r="B270" s="1" t="s">
        <v>42</v>
      </c>
      <c r="C270" s="1" t="s">
        <v>43</v>
      </c>
      <c r="D270" s="1" t="s">
        <v>35</v>
      </c>
      <c r="E270" s="1" t="s">
        <v>20</v>
      </c>
      <c r="F270" s="1">
        <v>20</v>
      </c>
      <c r="G270" s="1">
        <v>5798</v>
      </c>
      <c r="H270" s="1">
        <v>1100</v>
      </c>
      <c r="I270" s="1">
        <v>4698</v>
      </c>
      <c r="J270" s="1">
        <v>1410</v>
      </c>
      <c r="K270" s="1">
        <v>4.5999999999999996</v>
      </c>
      <c r="L270" s="4">
        <f>Table1[[#This Row],[Net Earnings]]-Table1[[#This Row],[Fuel Cost]]</f>
        <v>3288</v>
      </c>
    </row>
    <row r="271" spans="1:12" ht="14.25" customHeight="1" x14ac:dyDescent="0.25">
      <c r="A271" s="3">
        <v>46224</v>
      </c>
      <c r="B271" s="1" t="s">
        <v>45</v>
      </c>
      <c r="C271" s="1" t="s">
        <v>46</v>
      </c>
      <c r="D271" s="1" t="s">
        <v>13</v>
      </c>
      <c r="E271" s="1" t="s">
        <v>38</v>
      </c>
      <c r="F271" s="1">
        <v>21</v>
      </c>
      <c r="G271" s="1">
        <v>4977</v>
      </c>
      <c r="H271" s="1">
        <v>1050</v>
      </c>
      <c r="I271" s="1">
        <v>3927</v>
      </c>
      <c r="J271" s="1">
        <v>1290</v>
      </c>
      <c r="K271" s="1">
        <v>4.8</v>
      </c>
      <c r="L271" s="4">
        <f>Table1[[#This Row],[Net Earnings]]-Table1[[#This Row],[Fuel Cost]]</f>
        <v>2637</v>
      </c>
    </row>
    <row r="272" spans="1:12" ht="14.25" customHeight="1" x14ac:dyDescent="0.25">
      <c r="A272" s="3">
        <v>46225</v>
      </c>
      <c r="B272" s="1" t="s">
        <v>11</v>
      </c>
      <c r="C272" s="1" t="s">
        <v>12</v>
      </c>
      <c r="D272" s="1" t="s">
        <v>14</v>
      </c>
      <c r="E272" s="1" t="s">
        <v>41</v>
      </c>
      <c r="F272" s="1">
        <v>16</v>
      </c>
      <c r="G272" s="1">
        <v>4437</v>
      </c>
      <c r="H272" s="1">
        <v>840</v>
      </c>
      <c r="I272" s="1">
        <v>3597</v>
      </c>
      <c r="J272" s="1">
        <v>1300</v>
      </c>
      <c r="K272" s="1">
        <v>4.3</v>
      </c>
      <c r="L272" s="4">
        <f>Table1[[#This Row],[Net Earnings]]-Table1[[#This Row],[Fuel Cost]]</f>
        <v>2297</v>
      </c>
    </row>
    <row r="273" spans="1:12" ht="14.25" customHeight="1" x14ac:dyDescent="0.25">
      <c r="A273" s="3">
        <v>46226</v>
      </c>
      <c r="B273" s="1" t="s">
        <v>15</v>
      </c>
      <c r="C273" s="1" t="s">
        <v>16</v>
      </c>
      <c r="D273" s="1" t="s">
        <v>13</v>
      </c>
      <c r="E273" s="1" t="s">
        <v>44</v>
      </c>
      <c r="F273" s="1">
        <v>26</v>
      </c>
      <c r="G273" s="1">
        <v>6280</v>
      </c>
      <c r="H273" s="1">
        <v>1260</v>
      </c>
      <c r="I273" s="1">
        <v>5020</v>
      </c>
      <c r="J273" s="1">
        <v>1790</v>
      </c>
      <c r="K273" s="1">
        <v>4.4000000000000004</v>
      </c>
      <c r="L273" s="4">
        <f>Table1[[#This Row],[Net Earnings]]-Table1[[#This Row],[Fuel Cost]]</f>
        <v>3230</v>
      </c>
    </row>
    <row r="274" spans="1:12" ht="14.25" customHeight="1" x14ac:dyDescent="0.25">
      <c r="A274" s="3">
        <v>46227</v>
      </c>
      <c r="B274" s="1" t="s">
        <v>18</v>
      </c>
      <c r="C274" s="1" t="s">
        <v>19</v>
      </c>
      <c r="D274" s="1" t="s">
        <v>20</v>
      </c>
      <c r="E274" s="1" t="s">
        <v>47</v>
      </c>
      <c r="F274" s="1">
        <v>26</v>
      </c>
      <c r="G274" s="1">
        <v>6745</v>
      </c>
      <c r="H274" s="1">
        <v>1480</v>
      </c>
      <c r="I274" s="1">
        <v>5265</v>
      </c>
      <c r="J274" s="1">
        <v>1480</v>
      </c>
      <c r="K274" s="1">
        <v>4.3</v>
      </c>
      <c r="L274" s="4">
        <f>Table1[[#This Row],[Net Earnings]]-Table1[[#This Row],[Fuel Cost]]</f>
        <v>3785</v>
      </c>
    </row>
    <row r="275" spans="1:12" ht="14.25" customHeight="1" x14ac:dyDescent="0.25">
      <c r="A275" s="3">
        <v>46228</v>
      </c>
      <c r="B275" s="1" t="s">
        <v>21</v>
      </c>
      <c r="C275" s="1" t="s">
        <v>22</v>
      </c>
      <c r="D275" s="1" t="s">
        <v>14</v>
      </c>
      <c r="E275" s="1" t="s">
        <v>13</v>
      </c>
      <c r="F275" s="1">
        <v>21</v>
      </c>
      <c r="G275" s="1">
        <v>5441</v>
      </c>
      <c r="H275" s="1">
        <v>1200</v>
      </c>
      <c r="I275" s="1">
        <v>4241</v>
      </c>
      <c r="J275" s="1">
        <v>1550</v>
      </c>
      <c r="K275" s="1">
        <v>4.8</v>
      </c>
      <c r="L275" s="4">
        <f>Table1[[#This Row],[Net Earnings]]-Table1[[#This Row],[Fuel Cost]]</f>
        <v>2691</v>
      </c>
    </row>
    <row r="276" spans="1:12" ht="14.25" customHeight="1" x14ac:dyDescent="0.25">
      <c r="A276" s="3">
        <v>46229</v>
      </c>
      <c r="B276" s="1" t="s">
        <v>24</v>
      </c>
      <c r="C276" s="1" t="s">
        <v>25</v>
      </c>
      <c r="D276" s="1" t="s">
        <v>20</v>
      </c>
      <c r="E276" s="1" t="s">
        <v>48</v>
      </c>
      <c r="F276" s="1">
        <v>12</v>
      </c>
      <c r="G276" s="1">
        <v>3249</v>
      </c>
      <c r="H276" s="1">
        <v>680</v>
      </c>
      <c r="I276" s="1">
        <v>2569</v>
      </c>
      <c r="J276" s="1">
        <v>1020</v>
      </c>
      <c r="K276" s="1">
        <v>4.8</v>
      </c>
      <c r="L276" s="4">
        <f>Table1[[#This Row],[Net Earnings]]-Table1[[#This Row],[Fuel Cost]]</f>
        <v>1549</v>
      </c>
    </row>
    <row r="277" spans="1:12" ht="14.25" customHeight="1" x14ac:dyDescent="0.25">
      <c r="A277" s="3">
        <v>46230</v>
      </c>
      <c r="B277" s="1" t="s">
        <v>27</v>
      </c>
      <c r="C277" s="1" t="s">
        <v>28</v>
      </c>
      <c r="D277" s="1" t="s">
        <v>13</v>
      </c>
      <c r="E277" s="1" t="s">
        <v>49</v>
      </c>
      <c r="F277" s="1">
        <v>18</v>
      </c>
      <c r="G277" s="1">
        <v>4333</v>
      </c>
      <c r="H277" s="1">
        <v>870</v>
      </c>
      <c r="I277" s="1">
        <v>3463</v>
      </c>
      <c r="J277" s="1">
        <v>1360</v>
      </c>
      <c r="K277" s="1">
        <v>4.8</v>
      </c>
      <c r="L277" s="4">
        <f>Table1[[#This Row],[Net Earnings]]-Table1[[#This Row],[Fuel Cost]]</f>
        <v>2103</v>
      </c>
    </row>
    <row r="278" spans="1:12" ht="14.25" customHeight="1" x14ac:dyDescent="0.25">
      <c r="A278" s="3">
        <v>46231</v>
      </c>
      <c r="B278" s="1" t="s">
        <v>30</v>
      </c>
      <c r="C278" s="1" t="s">
        <v>31</v>
      </c>
      <c r="D278" s="1" t="s">
        <v>14</v>
      </c>
      <c r="E278" s="1" t="s">
        <v>50</v>
      </c>
      <c r="F278" s="1">
        <v>22</v>
      </c>
      <c r="G278" s="1">
        <v>6237</v>
      </c>
      <c r="H278" s="1">
        <v>1250</v>
      </c>
      <c r="I278" s="1">
        <v>4987</v>
      </c>
      <c r="J278" s="1">
        <v>1620</v>
      </c>
      <c r="K278" s="1">
        <v>4.3</v>
      </c>
      <c r="L278" s="4">
        <f>Table1[[#This Row],[Net Earnings]]-Table1[[#This Row],[Fuel Cost]]</f>
        <v>3367</v>
      </c>
    </row>
    <row r="279" spans="1:12" ht="14.25" customHeight="1" x14ac:dyDescent="0.25">
      <c r="A279" s="3">
        <v>46232</v>
      </c>
      <c r="B279" s="1" t="s">
        <v>33</v>
      </c>
      <c r="C279" s="1" t="s">
        <v>34</v>
      </c>
      <c r="D279" s="1" t="s">
        <v>13</v>
      </c>
      <c r="E279" s="1" t="s">
        <v>51</v>
      </c>
      <c r="F279" s="1">
        <v>13</v>
      </c>
      <c r="G279" s="1">
        <v>3591</v>
      </c>
      <c r="H279" s="1">
        <v>680</v>
      </c>
      <c r="I279" s="1">
        <v>2911</v>
      </c>
      <c r="J279" s="1">
        <v>1320</v>
      </c>
      <c r="K279" s="1">
        <v>4.4000000000000004</v>
      </c>
      <c r="L279" s="4">
        <f>Table1[[#This Row],[Net Earnings]]-Table1[[#This Row],[Fuel Cost]]</f>
        <v>1591</v>
      </c>
    </row>
    <row r="280" spans="1:12" ht="14.25" customHeight="1" x14ac:dyDescent="0.25">
      <c r="A280" s="3">
        <v>46233</v>
      </c>
      <c r="B280" s="1" t="s">
        <v>36</v>
      </c>
      <c r="C280" s="1" t="s">
        <v>37</v>
      </c>
      <c r="D280" s="1" t="s">
        <v>13</v>
      </c>
      <c r="E280" s="1" t="s">
        <v>14</v>
      </c>
      <c r="F280" s="1">
        <v>12</v>
      </c>
      <c r="G280" s="1">
        <v>3090</v>
      </c>
      <c r="H280" s="1">
        <v>620</v>
      </c>
      <c r="I280" s="1">
        <v>2470</v>
      </c>
      <c r="J280" s="1">
        <v>1220</v>
      </c>
      <c r="K280" s="1">
        <v>4.9000000000000004</v>
      </c>
      <c r="L280" s="4">
        <f>Table1[[#This Row],[Net Earnings]]-Table1[[#This Row],[Fuel Cost]]</f>
        <v>1250</v>
      </c>
    </row>
    <row r="281" spans="1:12" ht="14.25" customHeight="1" x14ac:dyDescent="0.25">
      <c r="A281" s="3">
        <v>46234</v>
      </c>
      <c r="B281" s="1" t="s">
        <v>39</v>
      </c>
      <c r="C281" s="1" t="s">
        <v>40</v>
      </c>
      <c r="D281" s="1" t="s">
        <v>13</v>
      </c>
      <c r="E281" s="1" t="s">
        <v>17</v>
      </c>
      <c r="F281" s="1">
        <v>19</v>
      </c>
      <c r="G281" s="1">
        <v>4555</v>
      </c>
      <c r="H281" s="1">
        <v>960</v>
      </c>
      <c r="I281" s="1">
        <v>3595</v>
      </c>
      <c r="J281" s="1">
        <v>1280</v>
      </c>
      <c r="K281" s="1">
        <v>4.8</v>
      </c>
      <c r="L281" s="4">
        <f>Table1[[#This Row],[Net Earnings]]-Table1[[#This Row],[Fuel Cost]]</f>
        <v>2315</v>
      </c>
    </row>
    <row r="282" spans="1:12" ht="14.25" customHeight="1" x14ac:dyDescent="0.25">
      <c r="A282" s="3">
        <v>46215</v>
      </c>
      <c r="B282" s="1" t="s">
        <v>42</v>
      </c>
      <c r="C282" s="1" t="s">
        <v>43</v>
      </c>
      <c r="D282" s="1" t="s">
        <v>20</v>
      </c>
      <c r="E282" s="1" t="s">
        <v>13</v>
      </c>
      <c r="F282" s="1">
        <v>27</v>
      </c>
      <c r="G282" s="1">
        <v>7342</v>
      </c>
      <c r="H282" s="1">
        <v>1320</v>
      </c>
      <c r="I282" s="1">
        <v>6022</v>
      </c>
      <c r="J282" s="1">
        <v>1800</v>
      </c>
      <c r="K282" s="1">
        <v>4.8</v>
      </c>
      <c r="L282" s="4">
        <f>Table1[[#This Row],[Net Earnings]]-Table1[[#This Row],[Fuel Cost]]</f>
        <v>4222</v>
      </c>
    </row>
    <row r="283" spans="1:12" ht="14.25" customHeight="1" x14ac:dyDescent="0.25">
      <c r="A283" s="3">
        <v>46216</v>
      </c>
      <c r="B283" s="1" t="s">
        <v>45</v>
      </c>
      <c r="C283" s="1" t="s">
        <v>46</v>
      </c>
      <c r="D283" s="1" t="s">
        <v>20</v>
      </c>
      <c r="E283" s="1" t="s">
        <v>23</v>
      </c>
      <c r="F283" s="1">
        <v>14</v>
      </c>
      <c r="G283" s="1">
        <v>3176</v>
      </c>
      <c r="H283" s="1">
        <v>700</v>
      </c>
      <c r="I283" s="1">
        <v>2476</v>
      </c>
      <c r="J283" s="1">
        <v>1180</v>
      </c>
      <c r="K283" s="1">
        <v>4.7</v>
      </c>
      <c r="L283" s="4">
        <f>Table1[[#This Row],[Net Earnings]]-Table1[[#This Row],[Fuel Cost]]</f>
        <v>1296</v>
      </c>
    </row>
    <row r="284" spans="1:12" ht="14.25" customHeight="1" x14ac:dyDescent="0.25">
      <c r="A284" s="3">
        <v>46217</v>
      </c>
      <c r="B284" s="1" t="s">
        <v>11</v>
      </c>
      <c r="C284" s="1" t="s">
        <v>12</v>
      </c>
      <c r="D284" s="1" t="s">
        <v>20</v>
      </c>
      <c r="E284" s="1" t="s">
        <v>26</v>
      </c>
      <c r="F284" s="1">
        <v>17</v>
      </c>
      <c r="G284" s="1">
        <v>4917</v>
      </c>
      <c r="H284" s="1">
        <v>1080</v>
      </c>
      <c r="I284" s="1">
        <v>3837</v>
      </c>
      <c r="J284" s="1">
        <v>1200</v>
      </c>
      <c r="K284" s="1">
        <v>4.7</v>
      </c>
      <c r="L284" s="4">
        <f>Table1[[#This Row],[Net Earnings]]-Table1[[#This Row],[Fuel Cost]]</f>
        <v>2637</v>
      </c>
    </row>
    <row r="285" spans="1:12" ht="14.25" customHeight="1" x14ac:dyDescent="0.25">
      <c r="A285" s="3">
        <v>46218</v>
      </c>
      <c r="B285" s="1" t="s">
        <v>15</v>
      </c>
      <c r="C285" s="1" t="s">
        <v>16</v>
      </c>
      <c r="D285" s="1" t="s">
        <v>20</v>
      </c>
      <c r="E285" s="1" t="s">
        <v>29</v>
      </c>
      <c r="F285" s="1">
        <v>16</v>
      </c>
      <c r="G285" s="1">
        <v>4412</v>
      </c>
      <c r="H285" s="1">
        <v>790</v>
      </c>
      <c r="I285" s="1">
        <v>3622</v>
      </c>
      <c r="J285" s="1">
        <v>1300</v>
      </c>
      <c r="K285" s="1">
        <v>4.7</v>
      </c>
      <c r="L285" s="4">
        <f>Table1[[#This Row],[Net Earnings]]-Table1[[#This Row],[Fuel Cost]]</f>
        <v>2322</v>
      </c>
    </row>
    <row r="286" spans="1:12" ht="14.25" customHeight="1" x14ac:dyDescent="0.25">
      <c r="A286" s="3">
        <v>46219</v>
      </c>
      <c r="B286" s="1" t="s">
        <v>18</v>
      </c>
      <c r="C286" s="1" t="s">
        <v>19</v>
      </c>
      <c r="D286" s="1" t="s">
        <v>14</v>
      </c>
      <c r="E286" s="1" t="s">
        <v>32</v>
      </c>
      <c r="F286" s="1">
        <v>14</v>
      </c>
      <c r="G286" s="1">
        <v>3278</v>
      </c>
      <c r="H286" s="1">
        <v>690</v>
      </c>
      <c r="I286" s="1">
        <v>2588</v>
      </c>
      <c r="J286" s="1">
        <v>1260</v>
      </c>
      <c r="K286" s="1">
        <v>4.4000000000000004</v>
      </c>
      <c r="L286" s="4">
        <f>Table1[[#This Row],[Net Earnings]]-Table1[[#This Row],[Fuel Cost]]</f>
        <v>1328</v>
      </c>
    </row>
    <row r="287" spans="1:12" ht="14.25" customHeight="1" x14ac:dyDescent="0.25">
      <c r="A287" s="3">
        <v>46220</v>
      </c>
      <c r="B287" s="1" t="s">
        <v>21</v>
      </c>
      <c r="C287" s="1" t="s">
        <v>22</v>
      </c>
      <c r="D287" s="1" t="s">
        <v>35</v>
      </c>
      <c r="E287" s="1" t="s">
        <v>20</v>
      </c>
      <c r="F287" s="1">
        <v>14</v>
      </c>
      <c r="G287" s="1">
        <v>3698</v>
      </c>
      <c r="H287" s="1">
        <v>700</v>
      </c>
      <c r="I287" s="1">
        <v>2998</v>
      </c>
      <c r="J287" s="1">
        <v>1190</v>
      </c>
      <c r="K287" s="1">
        <v>4.5</v>
      </c>
      <c r="L287" s="4">
        <f>Table1[[#This Row],[Net Earnings]]-Table1[[#This Row],[Fuel Cost]]</f>
        <v>1808</v>
      </c>
    </row>
    <row r="288" spans="1:12" ht="14.25" customHeight="1" x14ac:dyDescent="0.25">
      <c r="A288" s="3">
        <v>46221</v>
      </c>
      <c r="B288" s="1" t="s">
        <v>24</v>
      </c>
      <c r="C288" s="1" t="s">
        <v>25</v>
      </c>
      <c r="D288" s="1" t="s">
        <v>13</v>
      </c>
      <c r="E288" s="1" t="s">
        <v>38</v>
      </c>
      <c r="F288" s="1">
        <v>24</v>
      </c>
      <c r="G288" s="1">
        <v>5975</v>
      </c>
      <c r="H288" s="1">
        <v>1140</v>
      </c>
      <c r="I288" s="1">
        <v>4835</v>
      </c>
      <c r="J288" s="1">
        <v>1410</v>
      </c>
      <c r="K288" s="1">
        <v>4.5</v>
      </c>
      <c r="L288" s="4">
        <f>Table1[[#This Row],[Net Earnings]]-Table1[[#This Row],[Fuel Cost]]</f>
        <v>3425</v>
      </c>
    </row>
    <row r="289" spans="1:12" ht="14.25" customHeight="1" x14ac:dyDescent="0.25">
      <c r="A289" s="3">
        <v>46222</v>
      </c>
      <c r="B289" s="1" t="s">
        <v>27</v>
      </c>
      <c r="C289" s="1" t="s">
        <v>28</v>
      </c>
      <c r="D289" s="1" t="s">
        <v>14</v>
      </c>
      <c r="E289" s="1" t="s">
        <v>41</v>
      </c>
      <c r="F289" s="1">
        <v>19</v>
      </c>
      <c r="G289" s="1">
        <v>4114</v>
      </c>
      <c r="H289" s="1">
        <v>740</v>
      </c>
      <c r="I289" s="1">
        <v>3374</v>
      </c>
      <c r="J289" s="1">
        <v>1490</v>
      </c>
      <c r="K289" s="1">
        <v>4.7</v>
      </c>
      <c r="L289" s="4">
        <f>Table1[[#This Row],[Net Earnings]]-Table1[[#This Row],[Fuel Cost]]</f>
        <v>1884</v>
      </c>
    </row>
    <row r="290" spans="1:12" ht="14.25" customHeight="1" x14ac:dyDescent="0.25">
      <c r="A290" s="3">
        <v>46223</v>
      </c>
      <c r="B290" s="1" t="s">
        <v>30</v>
      </c>
      <c r="C290" s="1" t="s">
        <v>31</v>
      </c>
      <c r="D290" s="1" t="s">
        <v>13</v>
      </c>
      <c r="E290" s="1" t="s">
        <v>44</v>
      </c>
      <c r="F290" s="1">
        <v>28</v>
      </c>
      <c r="G290" s="1">
        <v>6975</v>
      </c>
      <c r="H290" s="1">
        <v>1330</v>
      </c>
      <c r="I290" s="1">
        <v>5645</v>
      </c>
      <c r="J290" s="1">
        <v>1780</v>
      </c>
      <c r="K290" s="1">
        <v>4.4000000000000004</v>
      </c>
      <c r="L290" s="4">
        <f>Table1[[#This Row],[Net Earnings]]-Table1[[#This Row],[Fuel Cost]]</f>
        <v>3865</v>
      </c>
    </row>
    <row r="291" spans="1:12" ht="14.25" customHeight="1" x14ac:dyDescent="0.25">
      <c r="A291" s="3">
        <v>46224</v>
      </c>
      <c r="B291" s="1" t="s">
        <v>33</v>
      </c>
      <c r="C291" s="1" t="s">
        <v>34</v>
      </c>
      <c r="D291" s="1" t="s">
        <v>20</v>
      </c>
      <c r="E291" s="1" t="s">
        <v>47</v>
      </c>
      <c r="F291" s="1">
        <v>20</v>
      </c>
      <c r="G291" s="1">
        <v>5141</v>
      </c>
      <c r="H291" s="1">
        <v>1130</v>
      </c>
      <c r="I291" s="1">
        <v>4011</v>
      </c>
      <c r="J291" s="1">
        <v>1390</v>
      </c>
      <c r="K291" s="1">
        <v>4.3</v>
      </c>
      <c r="L291" s="4">
        <f>Table1[[#This Row],[Net Earnings]]-Table1[[#This Row],[Fuel Cost]]</f>
        <v>2621</v>
      </c>
    </row>
    <row r="292" spans="1:12" ht="14.25" customHeight="1" x14ac:dyDescent="0.25">
      <c r="A292" s="3">
        <v>46225</v>
      </c>
      <c r="B292" s="1" t="s">
        <v>36</v>
      </c>
      <c r="C292" s="1" t="s">
        <v>37</v>
      </c>
      <c r="D292" s="1" t="s">
        <v>14</v>
      </c>
      <c r="E292" s="1" t="s">
        <v>13</v>
      </c>
      <c r="F292" s="1">
        <v>17</v>
      </c>
      <c r="G292" s="1">
        <v>4668</v>
      </c>
      <c r="H292" s="1">
        <v>890</v>
      </c>
      <c r="I292" s="1">
        <v>3778</v>
      </c>
      <c r="J292" s="1">
        <v>1270</v>
      </c>
      <c r="K292" s="1">
        <v>4.5</v>
      </c>
      <c r="L292" s="4">
        <f>Table1[[#This Row],[Net Earnings]]-Table1[[#This Row],[Fuel Cost]]</f>
        <v>2508</v>
      </c>
    </row>
    <row r="293" spans="1:12" ht="14.25" customHeight="1" x14ac:dyDescent="0.25">
      <c r="A293" s="3">
        <v>46226</v>
      </c>
      <c r="B293" s="1" t="s">
        <v>39</v>
      </c>
      <c r="C293" s="1" t="s">
        <v>40</v>
      </c>
      <c r="D293" s="1" t="s">
        <v>20</v>
      </c>
      <c r="E293" s="1" t="s">
        <v>48</v>
      </c>
      <c r="F293" s="1">
        <v>16</v>
      </c>
      <c r="G293" s="1">
        <v>3595</v>
      </c>
      <c r="H293" s="1">
        <v>650</v>
      </c>
      <c r="I293" s="1">
        <v>2945</v>
      </c>
      <c r="J293" s="1">
        <v>1340</v>
      </c>
      <c r="K293" s="1">
        <v>4.3</v>
      </c>
      <c r="L293" s="4">
        <f>Table1[[#This Row],[Net Earnings]]-Table1[[#This Row],[Fuel Cost]]</f>
        <v>1605</v>
      </c>
    </row>
    <row r="294" spans="1:12" ht="14.25" customHeight="1" x14ac:dyDescent="0.25">
      <c r="A294" s="3">
        <v>46227</v>
      </c>
      <c r="B294" s="1" t="s">
        <v>42</v>
      </c>
      <c r="C294" s="1" t="s">
        <v>43</v>
      </c>
      <c r="D294" s="1" t="s">
        <v>13</v>
      </c>
      <c r="E294" s="1" t="s">
        <v>49</v>
      </c>
      <c r="F294" s="1">
        <v>18</v>
      </c>
      <c r="G294" s="1">
        <v>4176</v>
      </c>
      <c r="H294" s="1">
        <v>750</v>
      </c>
      <c r="I294" s="1">
        <v>3426</v>
      </c>
      <c r="J294" s="1">
        <v>1210</v>
      </c>
      <c r="K294" s="1">
        <v>4.5</v>
      </c>
      <c r="L294" s="4">
        <f>Table1[[#This Row],[Net Earnings]]-Table1[[#This Row],[Fuel Cost]]</f>
        <v>2216</v>
      </c>
    </row>
    <row r="295" spans="1:12" ht="14.25" customHeight="1" x14ac:dyDescent="0.25">
      <c r="A295" s="3">
        <v>46228</v>
      </c>
      <c r="B295" s="1" t="s">
        <v>45</v>
      </c>
      <c r="C295" s="1" t="s">
        <v>46</v>
      </c>
      <c r="D295" s="1" t="s">
        <v>14</v>
      </c>
      <c r="E295" s="1" t="s">
        <v>50</v>
      </c>
      <c r="F295" s="1">
        <v>21</v>
      </c>
      <c r="G295" s="1">
        <v>5687</v>
      </c>
      <c r="H295" s="1">
        <v>1140</v>
      </c>
      <c r="I295" s="1">
        <v>4547</v>
      </c>
      <c r="J295" s="1">
        <v>1470</v>
      </c>
      <c r="K295" s="1">
        <v>4.5999999999999996</v>
      </c>
      <c r="L295" s="4">
        <f>Table1[[#This Row],[Net Earnings]]-Table1[[#This Row],[Fuel Cost]]</f>
        <v>3077</v>
      </c>
    </row>
    <row r="296" spans="1:12" ht="14.25" customHeight="1" x14ac:dyDescent="0.25">
      <c r="A296" s="3">
        <v>46229</v>
      </c>
      <c r="B296" s="1" t="s">
        <v>11</v>
      </c>
      <c r="C296" s="1" t="s">
        <v>12</v>
      </c>
      <c r="D296" s="1" t="s">
        <v>13</v>
      </c>
      <c r="E296" s="1" t="s">
        <v>51</v>
      </c>
      <c r="F296" s="1">
        <v>13</v>
      </c>
      <c r="G296" s="1">
        <v>3452</v>
      </c>
      <c r="H296" s="1">
        <v>620</v>
      </c>
      <c r="I296" s="1">
        <v>2832</v>
      </c>
      <c r="J296" s="1">
        <v>1250</v>
      </c>
      <c r="K296" s="1">
        <v>4.3</v>
      </c>
      <c r="L296" s="4">
        <f>Table1[[#This Row],[Net Earnings]]-Table1[[#This Row],[Fuel Cost]]</f>
        <v>1582</v>
      </c>
    </row>
    <row r="297" spans="1:12" ht="14.25" customHeight="1" x14ac:dyDescent="0.25">
      <c r="A297" s="3">
        <v>46230</v>
      </c>
      <c r="B297" s="1" t="s">
        <v>15</v>
      </c>
      <c r="C297" s="1" t="s">
        <v>16</v>
      </c>
      <c r="D297" s="1" t="s">
        <v>13</v>
      </c>
      <c r="E297" s="1" t="s">
        <v>14</v>
      </c>
      <c r="F297" s="1">
        <v>27</v>
      </c>
      <c r="G297" s="1">
        <v>6934</v>
      </c>
      <c r="H297" s="1">
        <v>1530</v>
      </c>
      <c r="I297" s="1">
        <v>5404</v>
      </c>
      <c r="J297" s="1">
        <v>1460</v>
      </c>
      <c r="K297" s="1">
        <v>4.7</v>
      </c>
      <c r="L297" s="4">
        <f>Table1[[#This Row],[Net Earnings]]-Table1[[#This Row],[Fuel Cost]]</f>
        <v>3944</v>
      </c>
    </row>
    <row r="298" spans="1:12" ht="14.25" customHeight="1" x14ac:dyDescent="0.25">
      <c r="A298" s="3">
        <v>46231</v>
      </c>
      <c r="B298" s="1" t="s">
        <v>18</v>
      </c>
      <c r="C298" s="1" t="s">
        <v>19</v>
      </c>
      <c r="D298" s="1" t="s">
        <v>13</v>
      </c>
      <c r="E298" s="1" t="s">
        <v>17</v>
      </c>
      <c r="F298" s="1">
        <v>26</v>
      </c>
      <c r="G298" s="1">
        <v>5984</v>
      </c>
      <c r="H298" s="1">
        <v>1200</v>
      </c>
      <c r="I298" s="1">
        <v>4784</v>
      </c>
      <c r="J298" s="1">
        <v>1570</v>
      </c>
      <c r="K298" s="1">
        <v>4.5999999999999996</v>
      </c>
      <c r="L298" s="4">
        <f>Table1[[#This Row],[Net Earnings]]-Table1[[#This Row],[Fuel Cost]]</f>
        <v>3214</v>
      </c>
    </row>
    <row r="299" spans="1:12" ht="14.25" customHeight="1" x14ac:dyDescent="0.25">
      <c r="A299" s="3">
        <v>46232</v>
      </c>
      <c r="B299" s="1" t="s">
        <v>21</v>
      </c>
      <c r="C299" s="1" t="s">
        <v>22</v>
      </c>
      <c r="D299" s="1" t="s">
        <v>20</v>
      </c>
      <c r="E299" s="1" t="s">
        <v>13</v>
      </c>
      <c r="F299" s="1">
        <v>16</v>
      </c>
      <c r="G299" s="1">
        <v>4500</v>
      </c>
      <c r="H299" s="1">
        <v>900</v>
      </c>
      <c r="I299" s="1">
        <v>3600</v>
      </c>
      <c r="J299" s="1">
        <v>1250</v>
      </c>
      <c r="K299" s="1">
        <v>4.5</v>
      </c>
      <c r="L299" s="4">
        <f>Table1[[#This Row],[Net Earnings]]-Table1[[#This Row],[Fuel Cost]]</f>
        <v>2350</v>
      </c>
    </row>
    <row r="300" spans="1:12" ht="14.25" customHeight="1" x14ac:dyDescent="0.25">
      <c r="A300" s="3">
        <v>46233</v>
      </c>
      <c r="B300" s="1" t="s">
        <v>24</v>
      </c>
      <c r="C300" s="1" t="s">
        <v>25</v>
      </c>
      <c r="D300" s="1" t="s">
        <v>20</v>
      </c>
      <c r="E300" s="1" t="s">
        <v>23</v>
      </c>
      <c r="F300" s="1">
        <v>28</v>
      </c>
      <c r="G300" s="1">
        <v>7782</v>
      </c>
      <c r="H300" s="1">
        <v>1630</v>
      </c>
      <c r="I300" s="1">
        <v>6152</v>
      </c>
      <c r="J300" s="1">
        <v>1820</v>
      </c>
      <c r="K300" s="1">
        <v>4.8</v>
      </c>
      <c r="L300" s="4">
        <f>Table1[[#This Row],[Net Earnings]]-Table1[[#This Row],[Fuel Cost]]</f>
        <v>4332</v>
      </c>
    </row>
    <row r="301" spans="1:12" ht="14.25" customHeight="1" x14ac:dyDescent="0.25">
      <c r="A301" s="3">
        <v>46234</v>
      </c>
      <c r="B301" s="1" t="s">
        <v>27</v>
      </c>
      <c r="C301" s="1" t="s">
        <v>28</v>
      </c>
      <c r="D301" s="1" t="s">
        <v>20</v>
      </c>
      <c r="E301" s="1" t="s">
        <v>26</v>
      </c>
      <c r="F301" s="1">
        <v>19</v>
      </c>
      <c r="G301" s="1">
        <v>5357</v>
      </c>
      <c r="H301" s="1">
        <v>1070</v>
      </c>
      <c r="I301" s="1">
        <v>4287</v>
      </c>
      <c r="J301" s="1">
        <v>1320</v>
      </c>
      <c r="K301" s="1">
        <v>4.5</v>
      </c>
      <c r="L301" s="4">
        <f>Table1[[#This Row],[Net Earnings]]-Table1[[#This Row],[Fuel Cost]]</f>
        <v>2967</v>
      </c>
    </row>
    <row r="302" spans="1:12" ht="14.25" customHeight="1" x14ac:dyDescent="0.25">
      <c r="A302" s="3">
        <v>46235</v>
      </c>
      <c r="B302" s="1" t="s">
        <v>21</v>
      </c>
      <c r="C302" s="1" t="s">
        <v>22</v>
      </c>
      <c r="D302" s="1" t="s">
        <v>20</v>
      </c>
      <c r="E302" s="1" t="s">
        <v>26</v>
      </c>
      <c r="F302" s="1">
        <v>24</v>
      </c>
      <c r="G302" s="1">
        <v>5714</v>
      </c>
      <c r="H302" s="1">
        <v>1140</v>
      </c>
      <c r="I302" s="1">
        <v>4574</v>
      </c>
      <c r="J302" s="1">
        <v>1520</v>
      </c>
      <c r="K302" s="1">
        <v>4.5</v>
      </c>
      <c r="L302" s="4">
        <f>Table1[[#This Row],[Net Earnings]]-Table1[[#This Row],[Fuel Cost]]</f>
        <v>3054</v>
      </c>
    </row>
    <row r="303" spans="1:12" ht="14.25" customHeight="1" x14ac:dyDescent="0.25">
      <c r="A303" s="3">
        <v>46236</v>
      </c>
      <c r="B303" s="1" t="s">
        <v>36</v>
      </c>
      <c r="C303" s="1" t="s">
        <v>37</v>
      </c>
      <c r="D303" s="1" t="s">
        <v>20</v>
      </c>
      <c r="E303" s="1" t="s">
        <v>13</v>
      </c>
      <c r="F303" s="1">
        <v>25</v>
      </c>
      <c r="G303" s="1">
        <v>6098</v>
      </c>
      <c r="H303" s="1">
        <v>1340</v>
      </c>
      <c r="I303" s="1">
        <v>4758</v>
      </c>
      <c r="J303" s="1">
        <v>1500</v>
      </c>
      <c r="K303" s="1">
        <v>4.7</v>
      </c>
      <c r="L303" s="4">
        <f>Table1[[#This Row],[Net Earnings]]-Table1[[#This Row],[Fuel Cost]]</f>
        <v>3258</v>
      </c>
    </row>
    <row r="304" spans="1:12" ht="14.25" customHeight="1" x14ac:dyDescent="0.25">
      <c r="A304" s="3">
        <v>46237</v>
      </c>
      <c r="B304" s="1" t="s">
        <v>15</v>
      </c>
      <c r="C304" s="1" t="s">
        <v>16</v>
      </c>
      <c r="D304" s="1" t="s">
        <v>13</v>
      </c>
      <c r="E304" s="1" t="s">
        <v>14</v>
      </c>
      <c r="F304" s="1">
        <v>14</v>
      </c>
      <c r="G304" s="1">
        <v>3227</v>
      </c>
      <c r="H304" s="1">
        <v>610</v>
      </c>
      <c r="I304" s="1">
        <v>2617</v>
      </c>
      <c r="J304" s="1">
        <v>1240</v>
      </c>
      <c r="K304" s="1">
        <v>4.7</v>
      </c>
      <c r="L304" s="4">
        <f>Table1[[#This Row],[Net Earnings]]-Table1[[#This Row],[Fuel Cost]]</f>
        <v>1377</v>
      </c>
    </row>
    <row r="305" spans="1:12" ht="14.25" customHeight="1" x14ac:dyDescent="0.25">
      <c r="A305" s="3">
        <v>46238</v>
      </c>
      <c r="B305" s="1" t="s">
        <v>30</v>
      </c>
      <c r="C305" s="1" t="s">
        <v>31</v>
      </c>
      <c r="D305" s="1" t="s">
        <v>14</v>
      </c>
      <c r="E305" s="1" t="s">
        <v>50</v>
      </c>
      <c r="F305" s="1">
        <v>14</v>
      </c>
      <c r="G305" s="1">
        <v>3730</v>
      </c>
      <c r="H305" s="1">
        <v>820</v>
      </c>
      <c r="I305" s="1">
        <v>2910</v>
      </c>
      <c r="J305" s="1">
        <v>1280</v>
      </c>
      <c r="K305" s="1">
        <v>4.5</v>
      </c>
      <c r="L305" s="4">
        <f>Table1[[#This Row],[Net Earnings]]-Table1[[#This Row],[Fuel Cost]]</f>
        <v>1630</v>
      </c>
    </row>
    <row r="306" spans="1:12" ht="14.25" customHeight="1" x14ac:dyDescent="0.25">
      <c r="A306" s="3">
        <v>46239</v>
      </c>
      <c r="B306" s="1" t="s">
        <v>45</v>
      </c>
      <c r="C306" s="1" t="s">
        <v>46</v>
      </c>
      <c r="D306" s="1" t="s">
        <v>20</v>
      </c>
      <c r="E306" s="1" t="s">
        <v>48</v>
      </c>
      <c r="F306" s="1">
        <v>23</v>
      </c>
      <c r="G306" s="1">
        <v>5903</v>
      </c>
      <c r="H306" s="1">
        <v>1060</v>
      </c>
      <c r="I306" s="1">
        <v>4843</v>
      </c>
      <c r="J306" s="1">
        <v>1700</v>
      </c>
      <c r="K306" s="1">
        <v>4.8</v>
      </c>
      <c r="L306" s="4">
        <f>Table1[[#This Row],[Net Earnings]]-Table1[[#This Row],[Fuel Cost]]</f>
        <v>3143</v>
      </c>
    </row>
    <row r="307" spans="1:12" ht="14.25" customHeight="1" x14ac:dyDescent="0.25">
      <c r="A307" s="3">
        <v>46240</v>
      </c>
      <c r="B307" s="1" t="s">
        <v>24</v>
      </c>
      <c r="C307" s="1" t="s">
        <v>25</v>
      </c>
      <c r="D307" s="1" t="s">
        <v>14</v>
      </c>
      <c r="E307" s="1" t="s">
        <v>41</v>
      </c>
      <c r="F307" s="1">
        <v>25</v>
      </c>
      <c r="G307" s="1">
        <v>6537</v>
      </c>
      <c r="H307" s="1">
        <v>1310</v>
      </c>
      <c r="I307" s="1">
        <v>5227</v>
      </c>
      <c r="J307" s="1">
        <v>1520</v>
      </c>
      <c r="K307" s="1">
        <v>4.5</v>
      </c>
      <c r="L307" s="4">
        <f>Table1[[#This Row],[Net Earnings]]-Table1[[#This Row],[Fuel Cost]]</f>
        <v>3707</v>
      </c>
    </row>
    <row r="308" spans="1:12" ht="14.25" customHeight="1" x14ac:dyDescent="0.25">
      <c r="A308" s="3">
        <v>46241</v>
      </c>
      <c r="B308" s="1" t="s">
        <v>39</v>
      </c>
      <c r="C308" s="1" t="s">
        <v>40</v>
      </c>
      <c r="D308" s="1" t="s">
        <v>35</v>
      </c>
      <c r="E308" s="1" t="s">
        <v>20</v>
      </c>
      <c r="F308" s="1">
        <v>26</v>
      </c>
      <c r="G308" s="1">
        <v>6582</v>
      </c>
      <c r="H308" s="1">
        <v>1180</v>
      </c>
      <c r="I308" s="1">
        <v>5402</v>
      </c>
      <c r="J308" s="1">
        <v>1660</v>
      </c>
      <c r="K308" s="1">
        <v>4.4000000000000004</v>
      </c>
      <c r="L308" s="4">
        <f>Table1[[#This Row],[Net Earnings]]-Table1[[#This Row],[Fuel Cost]]</f>
        <v>3742</v>
      </c>
    </row>
    <row r="309" spans="1:12" ht="14.25" customHeight="1" x14ac:dyDescent="0.25">
      <c r="A309" s="3">
        <v>46242</v>
      </c>
      <c r="B309" s="1" t="s">
        <v>18</v>
      </c>
      <c r="C309" s="1" t="s">
        <v>19</v>
      </c>
      <c r="D309" s="1" t="s">
        <v>20</v>
      </c>
      <c r="E309" s="1" t="s">
        <v>29</v>
      </c>
      <c r="F309" s="1">
        <v>27</v>
      </c>
      <c r="G309" s="1">
        <v>6993</v>
      </c>
      <c r="H309" s="1">
        <v>1400</v>
      </c>
      <c r="I309" s="1">
        <v>5593</v>
      </c>
      <c r="J309" s="1">
        <v>1850</v>
      </c>
      <c r="K309" s="1">
        <v>4.4000000000000004</v>
      </c>
      <c r="L309" s="4">
        <f>Table1[[#This Row],[Net Earnings]]-Table1[[#This Row],[Fuel Cost]]</f>
        <v>3743</v>
      </c>
    </row>
    <row r="310" spans="1:12" ht="14.25" customHeight="1" x14ac:dyDescent="0.25">
      <c r="A310" s="3">
        <v>46243</v>
      </c>
      <c r="B310" s="1" t="s">
        <v>33</v>
      </c>
      <c r="C310" s="1" t="s">
        <v>34</v>
      </c>
      <c r="D310" s="1" t="s">
        <v>20</v>
      </c>
      <c r="E310" s="1" t="s">
        <v>23</v>
      </c>
      <c r="F310" s="1">
        <v>21</v>
      </c>
      <c r="G310" s="1">
        <v>5580</v>
      </c>
      <c r="H310" s="1">
        <v>1170</v>
      </c>
      <c r="I310" s="1">
        <v>4410</v>
      </c>
      <c r="J310" s="1">
        <v>1400</v>
      </c>
      <c r="K310" s="1">
        <v>4.7</v>
      </c>
      <c r="L310" s="4">
        <f>Table1[[#This Row],[Net Earnings]]-Table1[[#This Row],[Fuel Cost]]</f>
        <v>3010</v>
      </c>
    </row>
    <row r="311" spans="1:12" ht="14.25" customHeight="1" x14ac:dyDescent="0.25">
      <c r="A311" s="3">
        <v>46244</v>
      </c>
      <c r="B311" s="1" t="s">
        <v>11</v>
      </c>
      <c r="C311" s="1" t="s">
        <v>12</v>
      </c>
      <c r="D311" s="1" t="s">
        <v>13</v>
      </c>
      <c r="E311" s="1" t="s">
        <v>17</v>
      </c>
      <c r="F311" s="1">
        <v>27</v>
      </c>
      <c r="G311" s="1">
        <v>7483</v>
      </c>
      <c r="H311" s="1">
        <v>1500</v>
      </c>
      <c r="I311" s="1">
        <v>5983</v>
      </c>
      <c r="J311" s="1">
        <v>1770</v>
      </c>
      <c r="K311" s="1">
        <v>4.5</v>
      </c>
      <c r="L311" s="4">
        <f>Table1[[#This Row],[Net Earnings]]-Table1[[#This Row],[Fuel Cost]]</f>
        <v>4213</v>
      </c>
    </row>
    <row r="312" spans="1:12" ht="14.25" customHeight="1" x14ac:dyDescent="0.25">
      <c r="A312" s="3">
        <v>46245</v>
      </c>
      <c r="B312" s="1" t="s">
        <v>27</v>
      </c>
      <c r="C312" s="1" t="s">
        <v>28</v>
      </c>
      <c r="D312" s="1" t="s">
        <v>13</v>
      </c>
      <c r="E312" s="1" t="s">
        <v>49</v>
      </c>
      <c r="F312" s="1">
        <v>15</v>
      </c>
      <c r="G312" s="1">
        <v>3624</v>
      </c>
      <c r="H312" s="1">
        <v>690</v>
      </c>
      <c r="I312" s="1">
        <v>2934</v>
      </c>
      <c r="J312" s="1">
        <v>1400</v>
      </c>
      <c r="K312" s="1">
        <v>4.5</v>
      </c>
      <c r="L312" s="4">
        <f>Table1[[#This Row],[Net Earnings]]-Table1[[#This Row],[Fuel Cost]]</f>
        <v>1534</v>
      </c>
    </row>
    <row r="313" spans="1:12" ht="14.25" customHeight="1" x14ac:dyDescent="0.25">
      <c r="A313" s="3">
        <v>46246</v>
      </c>
      <c r="B313" s="1" t="s">
        <v>42</v>
      </c>
      <c r="C313" s="1" t="s">
        <v>43</v>
      </c>
      <c r="D313" s="1" t="s">
        <v>14</v>
      </c>
      <c r="E313" s="1" t="s">
        <v>13</v>
      </c>
      <c r="F313" s="1">
        <v>15</v>
      </c>
      <c r="G313" s="1">
        <v>3660</v>
      </c>
      <c r="H313" s="1">
        <v>770</v>
      </c>
      <c r="I313" s="1">
        <v>2890</v>
      </c>
      <c r="J313" s="1">
        <v>1280</v>
      </c>
      <c r="K313" s="1">
        <v>4.5999999999999996</v>
      </c>
      <c r="L313" s="4">
        <f>Table1[[#This Row],[Net Earnings]]-Table1[[#This Row],[Fuel Cost]]</f>
        <v>1610</v>
      </c>
    </row>
    <row r="314" spans="1:12" ht="14.25" customHeight="1" x14ac:dyDescent="0.25">
      <c r="A314" s="3">
        <v>46247</v>
      </c>
      <c r="B314" s="1" t="s">
        <v>21</v>
      </c>
      <c r="C314" s="1" t="s">
        <v>22</v>
      </c>
      <c r="D314" s="1" t="s">
        <v>14</v>
      </c>
      <c r="E314" s="1" t="s">
        <v>50</v>
      </c>
      <c r="F314" s="1">
        <v>27</v>
      </c>
      <c r="G314" s="1">
        <v>6907</v>
      </c>
      <c r="H314" s="1">
        <v>1380</v>
      </c>
      <c r="I314" s="1">
        <v>5527</v>
      </c>
      <c r="J314" s="1">
        <v>1660</v>
      </c>
      <c r="K314" s="1">
        <v>4.5</v>
      </c>
      <c r="L314" s="4">
        <f>Table1[[#This Row],[Net Earnings]]-Table1[[#This Row],[Fuel Cost]]</f>
        <v>3867</v>
      </c>
    </row>
    <row r="315" spans="1:12" ht="14.25" customHeight="1" x14ac:dyDescent="0.25">
      <c r="A315" s="3">
        <v>46248</v>
      </c>
      <c r="B315" s="1" t="s">
        <v>36</v>
      </c>
      <c r="C315" s="1" t="s">
        <v>37</v>
      </c>
      <c r="D315" s="1" t="s">
        <v>20</v>
      </c>
      <c r="E315" s="1" t="s">
        <v>48</v>
      </c>
      <c r="F315" s="1">
        <v>18</v>
      </c>
      <c r="G315" s="1">
        <v>5096</v>
      </c>
      <c r="H315" s="1">
        <v>920</v>
      </c>
      <c r="I315" s="1">
        <v>4176</v>
      </c>
      <c r="J315" s="1">
        <v>1460</v>
      </c>
      <c r="K315" s="1">
        <v>4.7</v>
      </c>
      <c r="L315" s="4">
        <f>Table1[[#This Row],[Net Earnings]]-Table1[[#This Row],[Fuel Cost]]</f>
        <v>2716</v>
      </c>
    </row>
    <row r="316" spans="1:12" ht="14.25" customHeight="1" x14ac:dyDescent="0.25">
      <c r="A316" s="3">
        <v>46249</v>
      </c>
      <c r="B316" s="1" t="s">
        <v>15</v>
      </c>
      <c r="C316" s="1" t="s">
        <v>16</v>
      </c>
      <c r="D316" s="1" t="s">
        <v>14</v>
      </c>
      <c r="E316" s="1" t="s">
        <v>41</v>
      </c>
      <c r="F316" s="1">
        <v>22</v>
      </c>
      <c r="G316" s="1">
        <v>6144</v>
      </c>
      <c r="H316" s="1">
        <v>1170</v>
      </c>
      <c r="I316" s="1">
        <v>4974</v>
      </c>
      <c r="J316" s="1">
        <v>1550</v>
      </c>
      <c r="K316" s="1">
        <v>4.5999999999999996</v>
      </c>
      <c r="L316" s="4">
        <f>Table1[[#This Row],[Net Earnings]]-Table1[[#This Row],[Fuel Cost]]</f>
        <v>3424</v>
      </c>
    </row>
    <row r="317" spans="1:12" ht="14.25" customHeight="1" x14ac:dyDescent="0.25">
      <c r="A317" s="3">
        <v>46250</v>
      </c>
      <c r="B317" s="1" t="s">
        <v>30</v>
      </c>
      <c r="C317" s="1" t="s">
        <v>31</v>
      </c>
      <c r="D317" s="1" t="s">
        <v>35</v>
      </c>
      <c r="E317" s="1" t="s">
        <v>20</v>
      </c>
      <c r="F317" s="1">
        <v>24</v>
      </c>
      <c r="G317" s="1">
        <v>6738</v>
      </c>
      <c r="H317" s="1">
        <v>1280</v>
      </c>
      <c r="I317" s="1">
        <v>5458</v>
      </c>
      <c r="J317" s="1">
        <v>1690</v>
      </c>
      <c r="K317" s="1">
        <v>4.5999999999999996</v>
      </c>
      <c r="L317" s="4">
        <f>Table1[[#This Row],[Net Earnings]]-Table1[[#This Row],[Fuel Cost]]</f>
        <v>3768</v>
      </c>
    </row>
    <row r="318" spans="1:12" ht="14.25" customHeight="1" x14ac:dyDescent="0.25">
      <c r="A318" s="3">
        <v>46251</v>
      </c>
      <c r="B318" s="1" t="s">
        <v>45</v>
      </c>
      <c r="C318" s="1" t="s">
        <v>46</v>
      </c>
      <c r="D318" s="1" t="s">
        <v>20</v>
      </c>
      <c r="E318" s="1" t="s">
        <v>29</v>
      </c>
      <c r="F318" s="1">
        <v>26</v>
      </c>
      <c r="G318" s="1">
        <v>7298</v>
      </c>
      <c r="H318" s="1">
        <v>1390</v>
      </c>
      <c r="I318" s="1">
        <v>5908</v>
      </c>
      <c r="J318" s="1">
        <v>1840</v>
      </c>
      <c r="K318" s="1">
        <v>4.4000000000000004</v>
      </c>
      <c r="L318" s="4">
        <f>Table1[[#This Row],[Net Earnings]]-Table1[[#This Row],[Fuel Cost]]</f>
        <v>4068</v>
      </c>
    </row>
    <row r="319" spans="1:12" ht="14.25" customHeight="1" x14ac:dyDescent="0.25">
      <c r="A319" s="3">
        <v>46252</v>
      </c>
      <c r="B319" s="1" t="s">
        <v>24</v>
      </c>
      <c r="C319" s="1" t="s">
        <v>25</v>
      </c>
      <c r="D319" s="1" t="s">
        <v>20</v>
      </c>
      <c r="E319" s="1" t="s">
        <v>23</v>
      </c>
      <c r="F319" s="1">
        <v>19</v>
      </c>
      <c r="G319" s="1">
        <v>4908</v>
      </c>
      <c r="H319" s="1">
        <v>880</v>
      </c>
      <c r="I319" s="1">
        <v>4028</v>
      </c>
      <c r="J319" s="1">
        <v>1380</v>
      </c>
      <c r="K319" s="1">
        <v>4.9000000000000004</v>
      </c>
      <c r="L319" s="4">
        <f>Table1[[#This Row],[Net Earnings]]-Table1[[#This Row],[Fuel Cost]]</f>
        <v>2648</v>
      </c>
    </row>
    <row r="320" spans="1:12" ht="14.25" customHeight="1" x14ac:dyDescent="0.25">
      <c r="A320" s="3">
        <v>46253</v>
      </c>
      <c r="B320" s="1" t="s">
        <v>39</v>
      </c>
      <c r="C320" s="1" t="s">
        <v>40</v>
      </c>
      <c r="D320" s="1" t="s">
        <v>13</v>
      </c>
      <c r="E320" s="1" t="s">
        <v>17</v>
      </c>
      <c r="F320" s="1">
        <v>23</v>
      </c>
      <c r="G320" s="1">
        <v>6420</v>
      </c>
      <c r="H320" s="1">
        <v>1220</v>
      </c>
      <c r="I320" s="1">
        <v>5200</v>
      </c>
      <c r="J320" s="1">
        <v>1660</v>
      </c>
      <c r="K320" s="1">
        <v>4.5999999999999996</v>
      </c>
      <c r="L320" s="4">
        <f>Table1[[#This Row],[Net Earnings]]-Table1[[#This Row],[Fuel Cost]]</f>
        <v>3540</v>
      </c>
    </row>
    <row r="321" spans="1:12" ht="14.25" customHeight="1" x14ac:dyDescent="0.25">
      <c r="A321" s="3">
        <v>46254</v>
      </c>
      <c r="B321" s="1" t="s">
        <v>18</v>
      </c>
      <c r="C321" s="1" t="s">
        <v>19</v>
      </c>
      <c r="D321" s="1" t="s">
        <v>13</v>
      </c>
      <c r="E321" s="1" t="s">
        <v>49</v>
      </c>
      <c r="F321" s="1">
        <v>24</v>
      </c>
      <c r="G321" s="1">
        <v>6272</v>
      </c>
      <c r="H321" s="1">
        <v>1250</v>
      </c>
      <c r="I321" s="1">
        <v>5022</v>
      </c>
      <c r="J321" s="1">
        <v>1500</v>
      </c>
      <c r="K321" s="1">
        <v>4.5</v>
      </c>
      <c r="L321" s="4">
        <f>Table1[[#This Row],[Net Earnings]]-Table1[[#This Row],[Fuel Cost]]</f>
        <v>3522</v>
      </c>
    </row>
    <row r="322" spans="1:12" ht="14.25" customHeight="1" x14ac:dyDescent="0.25">
      <c r="A322" s="3">
        <v>46235</v>
      </c>
      <c r="B322" s="1" t="s">
        <v>33</v>
      </c>
      <c r="C322" s="1" t="s">
        <v>34</v>
      </c>
      <c r="D322" s="1" t="s">
        <v>14</v>
      </c>
      <c r="E322" s="1" t="s">
        <v>13</v>
      </c>
      <c r="F322" s="1">
        <v>22</v>
      </c>
      <c r="G322" s="1">
        <v>5885</v>
      </c>
      <c r="H322" s="1">
        <v>1290</v>
      </c>
      <c r="I322" s="1">
        <v>4595</v>
      </c>
      <c r="J322" s="1">
        <v>1530</v>
      </c>
      <c r="K322" s="1">
        <v>4.8</v>
      </c>
      <c r="L322" s="4">
        <f>Table1[[#This Row],[Net Earnings]]-Table1[[#This Row],[Fuel Cost]]</f>
        <v>3065</v>
      </c>
    </row>
    <row r="323" spans="1:12" ht="14.25" customHeight="1" x14ac:dyDescent="0.25">
      <c r="A323" s="3">
        <v>46236</v>
      </c>
      <c r="B323" s="1" t="s">
        <v>11</v>
      </c>
      <c r="C323" s="1" t="s">
        <v>12</v>
      </c>
      <c r="D323" s="1" t="s">
        <v>13</v>
      </c>
      <c r="E323" s="1" t="s">
        <v>44</v>
      </c>
      <c r="F323" s="1">
        <v>20</v>
      </c>
      <c r="G323" s="1">
        <v>5116</v>
      </c>
      <c r="H323" s="1">
        <v>970</v>
      </c>
      <c r="I323" s="1">
        <v>4146</v>
      </c>
      <c r="J323" s="1">
        <v>1510</v>
      </c>
      <c r="K323" s="1">
        <v>4.5999999999999996</v>
      </c>
      <c r="L323" s="4">
        <f>Table1[[#This Row],[Net Earnings]]-Table1[[#This Row],[Fuel Cost]]</f>
        <v>2636</v>
      </c>
    </row>
    <row r="324" spans="1:12" ht="14.25" customHeight="1" x14ac:dyDescent="0.25">
      <c r="A324" s="3">
        <v>46237</v>
      </c>
      <c r="B324" s="1" t="s">
        <v>27</v>
      </c>
      <c r="C324" s="1" t="s">
        <v>28</v>
      </c>
      <c r="D324" s="1" t="s">
        <v>13</v>
      </c>
      <c r="E324" s="1" t="s">
        <v>38</v>
      </c>
      <c r="F324" s="1">
        <v>26</v>
      </c>
      <c r="G324" s="1">
        <v>6308</v>
      </c>
      <c r="H324" s="1">
        <v>1140</v>
      </c>
      <c r="I324" s="1">
        <v>5168</v>
      </c>
      <c r="J324" s="1">
        <v>1550</v>
      </c>
      <c r="K324" s="1">
        <v>4.7</v>
      </c>
      <c r="L324" s="4">
        <f>Table1[[#This Row],[Net Earnings]]-Table1[[#This Row],[Fuel Cost]]</f>
        <v>3618</v>
      </c>
    </row>
    <row r="325" spans="1:12" ht="14.25" customHeight="1" x14ac:dyDescent="0.25">
      <c r="A325" s="3">
        <v>46238</v>
      </c>
      <c r="B325" s="1" t="s">
        <v>42</v>
      </c>
      <c r="C325" s="1" t="s">
        <v>43</v>
      </c>
      <c r="D325" s="1" t="s">
        <v>20</v>
      </c>
      <c r="E325" s="1" t="s">
        <v>26</v>
      </c>
      <c r="F325" s="1">
        <v>26</v>
      </c>
      <c r="G325" s="1">
        <v>7236</v>
      </c>
      <c r="H325" s="1">
        <v>1590</v>
      </c>
      <c r="I325" s="1">
        <v>5646</v>
      </c>
      <c r="J325" s="1">
        <v>1530</v>
      </c>
      <c r="K325" s="1">
        <v>4.5999999999999996</v>
      </c>
      <c r="L325" s="4">
        <f>Table1[[#This Row],[Net Earnings]]-Table1[[#This Row],[Fuel Cost]]</f>
        <v>4116</v>
      </c>
    </row>
    <row r="326" spans="1:12" ht="14.25" customHeight="1" x14ac:dyDescent="0.25">
      <c r="A326" s="3">
        <v>46239</v>
      </c>
      <c r="B326" s="1" t="s">
        <v>21</v>
      </c>
      <c r="C326" s="1" t="s">
        <v>22</v>
      </c>
      <c r="D326" s="1" t="s">
        <v>35</v>
      </c>
      <c r="E326" s="1" t="s">
        <v>20</v>
      </c>
      <c r="F326" s="1">
        <v>23</v>
      </c>
      <c r="G326" s="1">
        <v>6107</v>
      </c>
      <c r="H326" s="1">
        <v>1220</v>
      </c>
      <c r="I326" s="1">
        <v>4887</v>
      </c>
      <c r="J326" s="1">
        <v>1610</v>
      </c>
      <c r="K326" s="1">
        <v>4.8</v>
      </c>
      <c r="L326" s="4">
        <f>Table1[[#This Row],[Net Earnings]]-Table1[[#This Row],[Fuel Cost]]</f>
        <v>3277</v>
      </c>
    </row>
    <row r="327" spans="1:12" ht="14.25" customHeight="1" x14ac:dyDescent="0.25">
      <c r="A327" s="3">
        <v>46240</v>
      </c>
      <c r="B327" s="1" t="s">
        <v>36</v>
      </c>
      <c r="C327" s="1" t="s">
        <v>37</v>
      </c>
      <c r="D327" s="1" t="s">
        <v>20</v>
      </c>
      <c r="E327" s="1" t="s">
        <v>29</v>
      </c>
      <c r="F327" s="1">
        <v>14</v>
      </c>
      <c r="G327" s="1">
        <v>3976</v>
      </c>
      <c r="H327" s="1">
        <v>720</v>
      </c>
      <c r="I327" s="1">
        <v>3256</v>
      </c>
      <c r="J327" s="1">
        <v>1340</v>
      </c>
      <c r="K327" s="1">
        <v>4.8</v>
      </c>
      <c r="L327" s="4">
        <f>Table1[[#This Row],[Net Earnings]]-Table1[[#This Row],[Fuel Cost]]</f>
        <v>1916</v>
      </c>
    </row>
    <row r="328" spans="1:12" ht="14.25" customHeight="1" x14ac:dyDescent="0.25">
      <c r="A328" s="3">
        <v>46241</v>
      </c>
      <c r="B328" s="1" t="s">
        <v>15</v>
      </c>
      <c r="C328" s="1" t="s">
        <v>16</v>
      </c>
      <c r="D328" s="1" t="s">
        <v>20</v>
      </c>
      <c r="E328" s="1" t="s">
        <v>23</v>
      </c>
      <c r="F328" s="1">
        <v>26</v>
      </c>
      <c r="G328" s="1">
        <v>6648</v>
      </c>
      <c r="H328" s="1">
        <v>1330</v>
      </c>
      <c r="I328" s="1">
        <v>5318</v>
      </c>
      <c r="J328" s="1">
        <v>1530</v>
      </c>
      <c r="K328" s="1">
        <v>4.5</v>
      </c>
      <c r="L328" s="4">
        <f>Table1[[#This Row],[Net Earnings]]-Table1[[#This Row],[Fuel Cost]]</f>
        <v>3788</v>
      </c>
    </row>
    <row r="329" spans="1:12" ht="14.25" customHeight="1" x14ac:dyDescent="0.25">
      <c r="A329" s="3">
        <v>46242</v>
      </c>
      <c r="B329" s="1" t="s">
        <v>30</v>
      </c>
      <c r="C329" s="1" t="s">
        <v>31</v>
      </c>
      <c r="D329" s="1" t="s">
        <v>13</v>
      </c>
      <c r="E329" s="1" t="s">
        <v>17</v>
      </c>
      <c r="F329" s="1">
        <v>16</v>
      </c>
      <c r="G329" s="1">
        <v>4124</v>
      </c>
      <c r="H329" s="1">
        <v>820</v>
      </c>
      <c r="I329" s="1">
        <v>3304</v>
      </c>
      <c r="J329" s="1">
        <v>1380</v>
      </c>
      <c r="K329" s="1">
        <v>4.8</v>
      </c>
      <c r="L329" s="4">
        <f>Table1[[#This Row],[Net Earnings]]-Table1[[#This Row],[Fuel Cost]]</f>
        <v>1924</v>
      </c>
    </row>
    <row r="330" spans="1:12" ht="14.25" customHeight="1" x14ac:dyDescent="0.25">
      <c r="A330" s="3">
        <v>46243</v>
      </c>
      <c r="B330" s="1" t="s">
        <v>45</v>
      </c>
      <c r="C330" s="1" t="s">
        <v>46</v>
      </c>
      <c r="D330" s="1" t="s">
        <v>13</v>
      </c>
      <c r="E330" s="1" t="s">
        <v>49</v>
      </c>
      <c r="F330" s="1">
        <v>22</v>
      </c>
      <c r="G330" s="1">
        <v>5362</v>
      </c>
      <c r="H330" s="1">
        <v>1070</v>
      </c>
      <c r="I330" s="1">
        <v>4292</v>
      </c>
      <c r="J330" s="1">
        <v>1690</v>
      </c>
      <c r="K330" s="1">
        <v>4.7</v>
      </c>
      <c r="L330" s="4">
        <f>Table1[[#This Row],[Net Earnings]]-Table1[[#This Row],[Fuel Cost]]</f>
        <v>2602</v>
      </c>
    </row>
    <row r="331" spans="1:12" ht="14.25" customHeight="1" x14ac:dyDescent="0.25">
      <c r="A331" s="3">
        <v>46244</v>
      </c>
      <c r="B331" s="1" t="s">
        <v>24</v>
      </c>
      <c r="C331" s="1" t="s">
        <v>25</v>
      </c>
      <c r="D331" s="1" t="s">
        <v>14</v>
      </c>
      <c r="E331" s="1" t="s">
        <v>13</v>
      </c>
      <c r="F331" s="1">
        <v>23</v>
      </c>
      <c r="G331" s="1">
        <v>5620</v>
      </c>
      <c r="H331" s="1">
        <v>1120</v>
      </c>
      <c r="I331" s="1">
        <v>4500</v>
      </c>
      <c r="J331" s="1">
        <v>1700</v>
      </c>
      <c r="K331" s="1">
        <v>4.5</v>
      </c>
      <c r="L331" s="4">
        <f>Table1[[#This Row],[Net Earnings]]-Table1[[#This Row],[Fuel Cost]]</f>
        <v>2800</v>
      </c>
    </row>
    <row r="332" spans="1:12" ht="14.25" customHeight="1" x14ac:dyDescent="0.25">
      <c r="A332" s="3">
        <v>46245</v>
      </c>
      <c r="B332" s="1" t="s">
        <v>39</v>
      </c>
      <c r="C332" s="1" t="s">
        <v>40</v>
      </c>
      <c r="D332" s="1" t="s">
        <v>13</v>
      </c>
      <c r="E332" s="1" t="s">
        <v>44</v>
      </c>
      <c r="F332" s="1">
        <v>26</v>
      </c>
      <c r="G332" s="1">
        <v>6868</v>
      </c>
      <c r="H332" s="1">
        <v>1510</v>
      </c>
      <c r="I332" s="1">
        <v>5358</v>
      </c>
      <c r="J332" s="1">
        <v>1630</v>
      </c>
      <c r="K332" s="1">
        <v>4.5999999999999996</v>
      </c>
      <c r="L332" s="4">
        <f>Table1[[#This Row],[Net Earnings]]-Table1[[#This Row],[Fuel Cost]]</f>
        <v>3728</v>
      </c>
    </row>
    <row r="333" spans="1:12" ht="14.25" customHeight="1" x14ac:dyDescent="0.25">
      <c r="A333" s="3">
        <v>46246</v>
      </c>
      <c r="B333" s="1" t="s">
        <v>18</v>
      </c>
      <c r="C333" s="1" t="s">
        <v>19</v>
      </c>
      <c r="D333" s="1" t="s">
        <v>13</v>
      </c>
      <c r="E333" s="1" t="s">
        <v>38</v>
      </c>
      <c r="F333" s="1">
        <v>15</v>
      </c>
      <c r="G333" s="1">
        <v>3982</v>
      </c>
      <c r="H333" s="1">
        <v>800</v>
      </c>
      <c r="I333" s="1">
        <v>3182</v>
      </c>
      <c r="J333" s="1">
        <v>1270</v>
      </c>
      <c r="K333" s="1">
        <v>4.4000000000000004</v>
      </c>
      <c r="L333" s="4">
        <f>Table1[[#This Row],[Net Earnings]]-Table1[[#This Row],[Fuel Cost]]</f>
        <v>1912</v>
      </c>
    </row>
    <row r="334" spans="1:12" ht="14.25" customHeight="1" x14ac:dyDescent="0.25">
      <c r="A334" s="3">
        <v>46247</v>
      </c>
      <c r="B334" s="1" t="s">
        <v>33</v>
      </c>
      <c r="C334" s="1" t="s">
        <v>34</v>
      </c>
      <c r="D334" s="1" t="s">
        <v>20</v>
      </c>
      <c r="E334" s="1" t="s">
        <v>26</v>
      </c>
      <c r="F334" s="1">
        <v>23</v>
      </c>
      <c r="G334" s="1">
        <v>5441</v>
      </c>
      <c r="H334" s="1">
        <v>1140</v>
      </c>
      <c r="I334" s="1">
        <v>4301</v>
      </c>
      <c r="J334" s="1">
        <v>1720</v>
      </c>
      <c r="K334" s="1">
        <v>4.4000000000000004</v>
      </c>
      <c r="L334" s="4">
        <f>Table1[[#This Row],[Net Earnings]]-Table1[[#This Row],[Fuel Cost]]</f>
        <v>2581</v>
      </c>
    </row>
    <row r="335" spans="1:12" ht="14.25" customHeight="1" x14ac:dyDescent="0.25">
      <c r="A335" s="3">
        <v>46248</v>
      </c>
      <c r="B335" s="1" t="s">
        <v>11</v>
      </c>
      <c r="C335" s="1" t="s">
        <v>12</v>
      </c>
      <c r="D335" s="1" t="s">
        <v>20</v>
      </c>
      <c r="E335" s="1" t="s">
        <v>13</v>
      </c>
      <c r="F335" s="1">
        <v>26</v>
      </c>
      <c r="G335" s="1">
        <v>7090</v>
      </c>
      <c r="H335" s="1">
        <v>1350</v>
      </c>
      <c r="I335" s="1">
        <v>5740</v>
      </c>
      <c r="J335" s="1">
        <v>1550</v>
      </c>
      <c r="K335" s="1">
        <v>4.7</v>
      </c>
      <c r="L335" s="4">
        <f>Table1[[#This Row],[Net Earnings]]-Table1[[#This Row],[Fuel Cost]]</f>
        <v>4190</v>
      </c>
    </row>
    <row r="336" spans="1:12" ht="14.25" customHeight="1" x14ac:dyDescent="0.25">
      <c r="A336" s="3">
        <v>46249</v>
      </c>
      <c r="B336" s="1" t="s">
        <v>27</v>
      </c>
      <c r="C336" s="1" t="s">
        <v>28</v>
      </c>
      <c r="D336" s="1" t="s">
        <v>13</v>
      </c>
      <c r="E336" s="1" t="s">
        <v>14</v>
      </c>
      <c r="F336" s="1">
        <v>22</v>
      </c>
      <c r="G336" s="1">
        <v>5357</v>
      </c>
      <c r="H336" s="1">
        <v>1180</v>
      </c>
      <c r="I336" s="1">
        <v>4177</v>
      </c>
      <c r="J336" s="1">
        <v>1690</v>
      </c>
      <c r="K336" s="1">
        <v>4.7</v>
      </c>
      <c r="L336" s="4">
        <f>Table1[[#This Row],[Net Earnings]]-Table1[[#This Row],[Fuel Cost]]</f>
        <v>2487</v>
      </c>
    </row>
    <row r="337" spans="1:12" ht="14.25" customHeight="1" x14ac:dyDescent="0.25">
      <c r="A337" s="3">
        <v>46250</v>
      </c>
      <c r="B337" s="1" t="s">
        <v>42</v>
      </c>
      <c r="C337" s="1" t="s">
        <v>43</v>
      </c>
      <c r="D337" s="1" t="s">
        <v>14</v>
      </c>
      <c r="E337" s="1" t="s">
        <v>50</v>
      </c>
      <c r="F337" s="1">
        <v>17</v>
      </c>
      <c r="G337" s="1">
        <v>4666</v>
      </c>
      <c r="H337" s="1">
        <v>890</v>
      </c>
      <c r="I337" s="1">
        <v>3776</v>
      </c>
      <c r="J337" s="1">
        <v>1460</v>
      </c>
      <c r="K337" s="1">
        <v>4.5999999999999996</v>
      </c>
      <c r="L337" s="4">
        <f>Table1[[#This Row],[Net Earnings]]-Table1[[#This Row],[Fuel Cost]]</f>
        <v>2316</v>
      </c>
    </row>
    <row r="338" spans="1:12" ht="14.25" customHeight="1" x14ac:dyDescent="0.25">
      <c r="A338" s="3">
        <v>46251</v>
      </c>
      <c r="B338" s="1" t="s">
        <v>21</v>
      </c>
      <c r="C338" s="1" t="s">
        <v>22</v>
      </c>
      <c r="D338" s="1" t="s">
        <v>13</v>
      </c>
      <c r="E338" s="1" t="s">
        <v>17</v>
      </c>
      <c r="F338" s="1">
        <v>24</v>
      </c>
      <c r="G338" s="1">
        <v>6619</v>
      </c>
      <c r="H338" s="1">
        <v>1390</v>
      </c>
      <c r="I338" s="1">
        <v>5229</v>
      </c>
      <c r="J338" s="1">
        <v>1640</v>
      </c>
      <c r="K338" s="1">
        <v>4.5999999999999996</v>
      </c>
      <c r="L338" s="4">
        <f>Table1[[#This Row],[Net Earnings]]-Table1[[#This Row],[Fuel Cost]]</f>
        <v>3589</v>
      </c>
    </row>
    <row r="339" spans="1:12" ht="14.25" customHeight="1" x14ac:dyDescent="0.25">
      <c r="A339" s="3">
        <v>46252</v>
      </c>
      <c r="B339" s="1" t="s">
        <v>36</v>
      </c>
      <c r="C339" s="1" t="s">
        <v>37</v>
      </c>
      <c r="D339" s="1" t="s">
        <v>13</v>
      </c>
      <c r="E339" s="1" t="s">
        <v>49</v>
      </c>
      <c r="F339" s="1">
        <v>17</v>
      </c>
      <c r="G339" s="1">
        <v>4149</v>
      </c>
      <c r="H339" s="1">
        <v>830</v>
      </c>
      <c r="I339" s="1">
        <v>3319</v>
      </c>
      <c r="J339" s="1">
        <v>1280</v>
      </c>
      <c r="K339" s="1">
        <v>4.7</v>
      </c>
      <c r="L339" s="4">
        <f>Table1[[#This Row],[Net Earnings]]-Table1[[#This Row],[Fuel Cost]]</f>
        <v>2039</v>
      </c>
    </row>
    <row r="340" spans="1:12" ht="14.25" customHeight="1" x14ac:dyDescent="0.25">
      <c r="A340" s="3">
        <v>46253</v>
      </c>
      <c r="B340" s="1" t="s">
        <v>15</v>
      </c>
      <c r="C340" s="1" t="s">
        <v>16</v>
      </c>
      <c r="D340" s="1" t="s">
        <v>14</v>
      </c>
      <c r="E340" s="1" t="s">
        <v>13</v>
      </c>
      <c r="F340" s="1">
        <v>17</v>
      </c>
      <c r="G340" s="1">
        <v>4580</v>
      </c>
      <c r="H340" s="1">
        <v>820</v>
      </c>
      <c r="I340" s="1">
        <v>3760</v>
      </c>
      <c r="J340" s="1">
        <v>1290</v>
      </c>
      <c r="K340" s="1">
        <v>4.8</v>
      </c>
      <c r="L340" s="4">
        <f>Table1[[#This Row],[Net Earnings]]-Table1[[#This Row],[Fuel Cost]]</f>
        <v>2470</v>
      </c>
    </row>
    <row r="341" spans="1:12" ht="14.25" customHeight="1" x14ac:dyDescent="0.25">
      <c r="A341" s="3">
        <v>46254</v>
      </c>
      <c r="B341" s="1" t="s">
        <v>30</v>
      </c>
      <c r="C341" s="1" t="s">
        <v>31</v>
      </c>
      <c r="D341" s="1" t="s">
        <v>13</v>
      </c>
      <c r="E341" s="1" t="s">
        <v>44</v>
      </c>
      <c r="F341" s="1">
        <v>14</v>
      </c>
      <c r="G341" s="1">
        <v>3403</v>
      </c>
      <c r="H341" s="1">
        <v>610</v>
      </c>
      <c r="I341" s="1">
        <v>2793</v>
      </c>
      <c r="J341" s="1">
        <v>1380</v>
      </c>
      <c r="K341" s="1">
        <v>4.5999999999999996</v>
      </c>
      <c r="L341" s="4">
        <f>Table1[[#This Row],[Net Earnings]]-Table1[[#This Row],[Fuel Cost]]</f>
        <v>1413</v>
      </c>
    </row>
    <row r="342" spans="1:12" ht="14.25" customHeight="1" x14ac:dyDescent="0.25">
      <c r="A342" s="3">
        <v>46235</v>
      </c>
      <c r="B342" s="1" t="s">
        <v>45</v>
      </c>
      <c r="C342" s="1" t="s">
        <v>46</v>
      </c>
      <c r="D342" s="1" t="s">
        <v>13</v>
      </c>
      <c r="E342" s="1" t="s">
        <v>38</v>
      </c>
      <c r="F342" s="1">
        <v>22</v>
      </c>
      <c r="G342" s="1">
        <v>5471</v>
      </c>
      <c r="H342" s="1">
        <v>1150</v>
      </c>
      <c r="I342" s="1">
        <v>4321</v>
      </c>
      <c r="J342" s="1">
        <v>1470</v>
      </c>
      <c r="K342" s="1">
        <v>4.7</v>
      </c>
      <c r="L342" s="4">
        <f>Table1[[#This Row],[Net Earnings]]-Table1[[#This Row],[Fuel Cost]]</f>
        <v>2851</v>
      </c>
    </row>
    <row r="343" spans="1:12" ht="14.25" customHeight="1" x14ac:dyDescent="0.25">
      <c r="A343" s="3">
        <v>46236</v>
      </c>
      <c r="B343" s="1" t="s">
        <v>24</v>
      </c>
      <c r="C343" s="1" t="s">
        <v>25</v>
      </c>
      <c r="D343" s="1" t="s">
        <v>20</v>
      </c>
      <c r="E343" s="1" t="s">
        <v>26</v>
      </c>
      <c r="F343" s="1">
        <v>25</v>
      </c>
      <c r="G343" s="1">
        <v>6822</v>
      </c>
      <c r="H343" s="1">
        <v>1430</v>
      </c>
      <c r="I343" s="1">
        <v>5392</v>
      </c>
      <c r="J343" s="1">
        <v>1550</v>
      </c>
      <c r="K343" s="1">
        <v>4.8</v>
      </c>
      <c r="L343" s="4">
        <f>Table1[[#This Row],[Net Earnings]]-Table1[[#This Row],[Fuel Cost]]</f>
        <v>3842</v>
      </c>
    </row>
    <row r="344" spans="1:12" ht="14.25" customHeight="1" x14ac:dyDescent="0.25">
      <c r="A344" s="3">
        <v>46237</v>
      </c>
      <c r="B344" s="1" t="s">
        <v>39</v>
      </c>
      <c r="C344" s="1" t="s">
        <v>40</v>
      </c>
      <c r="D344" s="1" t="s">
        <v>20</v>
      </c>
      <c r="E344" s="1" t="s">
        <v>13</v>
      </c>
      <c r="F344" s="1">
        <v>26</v>
      </c>
      <c r="G344" s="1">
        <v>6734</v>
      </c>
      <c r="H344" s="1">
        <v>1210</v>
      </c>
      <c r="I344" s="1">
        <v>5524</v>
      </c>
      <c r="J344" s="1">
        <v>1530</v>
      </c>
      <c r="K344" s="1">
        <v>4.7</v>
      </c>
      <c r="L344" s="4">
        <f>Table1[[#This Row],[Net Earnings]]-Table1[[#This Row],[Fuel Cost]]</f>
        <v>3994</v>
      </c>
    </row>
    <row r="345" spans="1:12" ht="14.25" customHeight="1" x14ac:dyDescent="0.25">
      <c r="A345" s="3">
        <v>46238</v>
      </c>
      <c r="B345" s="1" t="s">
        <v>18</v>
      </c>
      <c r="C345" s="1" t="s">
        <v>19</v>
      </c>
      <c r="D345" s="1" t="s">
        <v>13</v>
      </c>
      <c r="E345" s="1" t="s">
        <v>14</v>
      </c>
      <c r="F345" s="1">
        <v>19</v>
      </c>
      <c r="G345" s="1">
        <v>4983</v>
      </c>
      <c r="H345" s="1">
        <v>1050</v>
      </c>
      <c r="I345" s="1">
        <v>3933</v>
      </c>
      <c r="J345" s="1">
        <v>1570</v>
      </c>
      <c r="K345" s="1">
        <v>4.8</v>
      </c>
      <c r="L345" s="4">
        <f>Table1[[#This Row],[Net Earnings]]-Table1[[#This Row],[Fuel Cost]]</f>
        <v>2363</v>
      </c>
    </row>
    <row r="346" spans="1:12" ht="14.25" customHeight="1" x14ac:dyDescent="0.25">
      <c r="A346" s="3">
        <v>46239</v>
      </c>
      <c r="B346" s="1" t="s">
        <v>33</v>
      </c>
      <c r="C346" s="1" t="s">
        <v>34</v>
      </c>
      <c r="D346" s="1" t="s">
        <v>14</v>
      </c>
      <c r="E346" s="1" t="s">
        <v>50</v>
      </c>
      <c r="F346" s="1">
        <v>24</v>
      </c>
      <c r="G346" s="1">
        <v>6689</v>
      </c>
      <c r="H346" s="1">
        <v>1200</v>
      </c>
      <c r="I346" s="1">
        <v>5489</v>
      </c>
      <c r="J346" s="1">
        <v>1450</v>
      </c>
      <c r="K346" s="1">
        <v>4.5999999999999996</v>
      </c>
      <c r="L346" s="4">
        <f>Table1[[#This Row],[Net Earnings]]-Table1[[#This Row],[Fuel Cost]]</f>
        <v>4039</v>
      </c>
    </row>
    <row r="347" spans="1:12" ht="14.25" customHeight="1" x14ac:dyDescent="0.25">
      <c r="A347" s="3">
        <v>46240</v>
      </c>
      <c r="B347" s="1" t="s">
        <v>11</v>
      </c>
      <c r="C347" s="1" t="s">
        <v>12</v>
      </c>
      <c r="D347" s="1" t="s">
        <v>20</v>
      </c>
      <c r="E347" s="1" t="s">
        <v>48</v>
      </c>
      <c r="F347" s="1">
        <v>19</v>
      </c>
      <c r="G347" s="1">
        <v>4542</v>
      </c>
      <c r="H347" s="1">
        <v>860</v>
      </c>
      <c r="I347" s="1">
        <v>3682</v>
      </c>
      <c r="J347" s="1">
        <v>1380</v>
      </c>
      <c r="K347" s="1">
        <v>4.7</v>
      </c>
      <c r="L347" s="4">
        <f>Table1[[#This Row],[Net Earnings]]-Table1[[#This Row],[Fuel Cost]]</f>
        <v>2302</v>
      </c>
    </row>
    <row r="348" spans="1:12" ht="14.25" customHeight="1" x14ac:dyDescent="0.25">
      <c r="A348" s="3">
        <v>46241</v>
      </c>
      <c r="B348" s="1" t="s">
        <v>27</v>
      </c>
      <c r="C348" s="1" t="s">
        <v>28</v>
      </c>
      <c r="D348" s="1" t="s">
        <v>14</v>
      </c>
      <c r="E348" s="1" t="s">
        <v>41</v>
      </c>
      <c r="F348" s="1">
        <v>16</v>
      </c>
      <c r="G348" s="1">
        <v>4138</v>
      </c>
      <c r="H348" s="1">
        <v>830</v>
      </c>
      <c r="I348" s="1">
        <v>3308</v>
      </c>
      <c r="J348" s="1">
        <v>1360</v>
      </c>
      <c r="K348" s="1">
        <v>4.5</v>
      </c>
      <c r="L348" s="4">
        <f>Table1[[#This Row],[Net Earnings]]-Table1[[#This Row],[Fuel Cost]]</f>
        <v>1948</v>
      </c>
    </row>
    <row r="349" spans="1:12" ht="14.25" customHeight="1" x14ac:dyDescent="0.25">
      <c r="A349" s="3">
        <v>46242</v>
      </c>
      <c r="B349" s="1" t="s">
        <v>42</v>
      </c>
      <c r="C349" s="1" t="s">
        <v>43</v>
      </c>
      <c r="D349" s="1" t="s">
        <v>35</v>
      </c>
      <c r="E349" s="1" t="s">
        <v>20</v>
      </c>
      <c r="F349" s="1">
        <v>15</v>
      </c>
      <c r="G349" s="1">
        <v>4051</v>
      </c>
      <c r="H349" s="1">
        <v>890</v>
      </c>
      <c r="I349" s="1">
        <v>3161</v>
      </c>
      <c r="J349" s="1">
        <v>1240</v>
      </c>
      <c r="K349" s="1">
        <v>4.4000000000000004</v>
      </c>
      <c r="L349" s="4">
        <f>Table1[[#This Row],[Net Earnings]]-Table1[[#This Row],[Fuel Cost]]</f>
        <v>1921</v>
      </c>
    </row>
    <row r="350" spans="1:12" ht="14.25" customHeight="1" x14ac:dyDescent="0.25">
      <c r="A350" s="3">
        <v>46243</v>
      </c>
      <c r="B350" s="1" t="s">
        <v>21</v>
      </c>
      <c r="C350" s="1" t="s">
        <v>22</v>
      </c>
      <c r="D350" s="1" t="s">
        <v>13</v>
      </c>
      <c r="E350" s="1" t="s">
        <v>44</v>
      </c>
      <c r="F350" s="1">
        <v>22</v>
      </c>
      <c r="G350" s="1">
        <v>5093</v>
      </c>
      <c r="H350" s="1">
        <v>970</v>
      </c>
      <c r="I350" s="1">
        <v>4123</v>
      </c>
      <c r="J350" s="1">
        <v>1440</v>
      </c>
      <c r="K350" s="1">
        <v>4.5999999999999996</v>
      </c>
      <c r="L350" s="4">
        <f>Table1[[#This Row],[Net Earnings]]-Table1[[#This Row],[Fuel Cost]]</f>
        <v>2683</v>
      </c>
    </row>
    <row r="351" spans="1:12" ht="14.25" customHeight="1" x14ac:dyDescent="0.25">
      <c r="A351" s="3">
        <v>46244</v>
      </c>
      <c r="B351" s="1" t="s">
        <v>36</v>
      </c>
      <c r="C351" s="1" t="s">
        <v>37</v>
      </c>
      <c r="D351" s="1" t="s">
        <v>13</v>
      </c>
      <c r="E351" s="1" t="s">
        <v>38</v>
      </c>
      <c r="F351" s="1">
        <v>21</v>
      </c>
      <c r="G351" s="1">
        <v>5210</v>
      </c>
      <c r="H351" s="1">
        <v>940</v>
      </c>
      <c r="I351" s="1">
        <v>4270</v>
      </c>
      <c r="J351" s="1">
        <v>1420</v>
      </c>
      <c r="K351" s="1">
        <v>4.5999999999999996</v>
      </c>
      <c r="L351" s="4">
        <f>Table1[[#This Row],[Net Earnings]]-Table1[[#This Row],[Fuel Cost]]</f>
        <v>2850</v>
      </c>
    </row>
    <row r="352" spans="1:12" ht="14.25" customHeight="1" x14ac:dyDescent="0.25">
      <c r="A352" s="3">
        <v>46245</v>
      </c>
      <c r="B352" s="1" t="s">
        <v>15</v>
      </c>
      <c r="C352" s="1" t="s">
        <v>16</v>
      </c>
      <c r="D352" s="1" t="s">
        <v>20</v>
      </c>
      <c r="E352" s="1" t="s">
        <v>26</v>
      </c>
      <c r="F352" s="1">
        <v>20</v>
      </c>
      <c r="G352" s="1">
        <v>5120</v>
      </c>
      <c r="H352" s="1">
        <v>1080</v>
      </c>
      <c r="I352" s="1">
        <v>4040</v>
      </c>
      <c r="J352" s="1">
        <v>1430</v>
      </c>
      <c r="K352" s="1">
        <v>4.5999999999999996</v>
      </c>
      <c r="L352" s="4">
        <f>Table1[[#This Row],[Net Earnings]]-Table1[[#This Row],[Fuel Cost]]</f>
        <v>2610</v>
      </c>
    </row>
    <row r="353" spans="1:12" ht="14.25" customHeight="1" x14ac:dyDescent="0.25">
      <c r="A353" s="3">
        <v>46246</v>
      </c>
      <c r="B353" s="1" t="s">
        <v>30</v>
      </c>
      <c r="C353" s="1" t="s">
        <v>31</v>
      </c>
      <c r="D353" s="1" t="s">
        <v>20</v>
      </c>
      <c r="E353" s="1" t="s">
        <v>13</v>
      </c>
      <c r="F353" s="1">
        <v>25</v>
      </c>
      <c r="G353" s="1">
        <v>7167</v>
      </c>
      <c r="H353" s="1">
        <v>1510</v>
      </c>
      <c r="I353" s="1">
        <v>5657</v>
      </c>
      <c r="J353" s="1">
        <v>1520</v>
      </c>
      <c r="K353" s="1">
        <v>4.5</v>
      </c>
      <c r="L353" s="4">
        <f>Table1[[#This Row],[Net Earnings]]-Table1[[#This Row],[Fuel Cost]]</f>
        <v>4137</v>
      </c>
    </row>
    <row r="354" spans="1:12" ht="14.25" customHeight="1" x14ac:dyDescent="0.25">
      <c r="A354" s="3">
        <v>46247</v>
      </c>
      <c r="B354" s="1" t="s">
        <v>45</v>
      </c>
      <c r="C354" s="1" t="s">
        <v>46</v>
      </c>
      <c r="D354" s="1" t="s">
        <v>13</v>
      </c>
      <c r="E354" s="1" t="s">
        <v>14</v>
      </c>
      <c r="F354" s="1">
        <v>17</v>
      </c>
      <c r="G354" s="1">
        <v>4094</v>
      </c>
      <c r="H354" s="1">
        <v>900</v>
      </c>
      <c r="I354" s="1">
        <v>3194</v>
      </c>
      <c r="J354" s="1">
        <v>1280</v>
      </c>
      <c r="K354" s="1">
        <v>4.8</v>
      </c>
      <c r="L354" s="4">
        <f>Table1[[#This Row],[Net Earnings]]-Table1[[#This Row],[Fuel Cost]]</f>
        <v>1914</v>
      </c>
    </row>
    <row r="355" spans="1:12" ht="14.25" customHeight="1" x14ac:dyDescent="0.25">
      <c r="A355" s="3">
        <v>46248</v>
      </c>
      <c r="B355" s="1" t="s">
        <v>24</v>
      </c>
      <c r="C355" s="1" t="s">
        <v>25</v>
      </c>
      <c r="D355" s="1" t="s">
        <v>14</v>
      </c>
      <c r="E355" s="1" t="s">
        <v>50</v>
      </c>
      <c r="F355" s="1">
        <v>14</v>
      </c>
      <c r="G355" s="1">
        <v>3381</v>
      </c>
      <c r="H355" s="1">
        <v>710</v>
      </c>
      <c r="I355" s="1">
        <v>2671</v>
      </c>
      <c r="J355" s="1">
        <v>1310</v>
      </c>
      <c r="K355" s="1">
        <v>4.9000000000000004</v>
      </c>
      <c r="L355" s="4">
        <f>Table1[[#This Row],[Net Earnings]]-Table1[[#This Row],[Fuel Cost]]</f>
        <v>1361</v>
      </c>
    </row>
    <row r="356" spans="1:12" ht="14.25" customHeight="1" x14ac:dyDescent="0.25">
      <c r="A356" s="3">
        <v>46249</v>
      </c>
      <c r="B356" s="1" t="s">
        <v>39</v>
      </c>
      <c r="C356" s="1" t="s">
        <v>40</v>
      </c>
      <c r="D356" s="1" t="s">
        <v>20</v>
      </c>
      <c r="E356" s="1" t="s">
        <v>48</v>
      </c>
      <c r="F356" s="1">
        <v>22</v>
      </c>
      <c r="G356" s="1">
        <v>5304</v>
      </c>
      <c r="H356" s="1">
        <v>1170</v>
      </c>
      <c r="I356" s="1">
        <v>4134</v>
      </c>
      <c r="J356" s="1">
        <v>1420</v>
      </c>
      <c r="K356" s="1">
        <v>4.8</v>
      </c>
      <c r="L356" s="4">
        <f>Table1[[#This Row],[Net Earnings]]-Table1[[#This Row],[Fuel Cost]]</f>
        <v>2714</v>
      </c>
    </row>
    <row r="357" spans="1:12" ht="14.25" customHeight="1" x14ac:dyDescent="0.25">
      <c r="A357" s="3">
        <v>46250</v>
      </c>
      <c r="B357" s="1" t="s">
        <v>18</v>
      </c>
      <c r="C357" s="1" t="s">
        <v>19</v>
      </c>
      <c r="D357" s="1" t="s">
        <v>14</v>
      </c>
      <c r="E357" s="1" t="s">
        <v>41</v>
      </c>
      <c r="F357" s="1">
        <v>15</v>
      </c>
      <c r="G357" s="1">
        <v>4012</v>
      </c>
      <c r="H357" s="1">
        <v>760</v>
      </c>
      <c r="I357" s="1">
        <v>3252</v>
      </c>
      <c r="J357" s="1">
        <v>1320</v>
      </c>
      <c r="K357" s="1">
        <v>4.5</v>
      </c>
      <c r="L357" s="4">
        <f>Table1[[#This Row],[Net Earnings]]-Table1[[#This Row],[Fuel Cost]]</f>
        <v>1932</v>
      </c>
    </row>
    <row r="358" spans="1:12" ht="14.25" customHeight="1" x14ac:dyDescent="0.25">
      <c r="A358" s="3">
        <v>46251</v>
      </c>
      <c r="B358" s="1" t="s">
        <v>33</v>
      </c>
      <c r="C358" s="1" t="s">
        <v>34</v>
      </c>
      <c r="D358" s="1" t="s">
        <v>35</v>
      </c>
      <c r="E358" s="1" t="s">
        <v>20</v>
      </c>
      <c r="F358" s="1">
        <v>23</v>
      </c>
      <c r="G358" s="1">
        <v>5798</v>
      </c>
      <c r="H358" s="1">
        <v>1280</v>
      </c>
      <c r="I358" s="1">
        <v>4518</v>
      </c>
      <c r="J358" s="1">
        <v>1420</v>
      </c>
      <c r="K358" s="1">
        <v>4.7</v>
      </c>
      <c r="L358" s="4">
        <f>Table1[[#This Row],[Net Earnings]]-Table1[[#This Row],[Fuel Cost]]</f>
        <v>3098</v>
      </c>
    </row>
    <row r="359" spans="1:12" ht="14.25" customHeight="1" x14ac:dyDescent="0.25">
      <c r="A359" s="3">
        <v>46252</v>
      </c>
      <c r="B359" s="1" t="s">
        <v>11</v>
      </c>
      <c r="C359" s="1" t="s">
        <v>12</v>
      </c>
      <c r="D359" s="1" t="s">
        <v>20</v>
      </c>
      <c r="E359" s="1" t="s">
        <v>29</v>
      </c>
      <c r="F359" s="1">
        <v>20</v>
      </c>
      <c r="G359" s="1">
        <v>5589</v>
      </c>
      <c r="H359" s="1">
        <v>1230</v>
      </c>
      <c r="I359" s="1">
        <v>4359</v>
      </c>
      <c r="J359" s="1">
        <v>1510</v>
      </c>
      <c r="K359" s="1">
        <v>4.5999999999999996</v>
      </c>
      <c r="L359" s="4">
        <f>Table1[[#This Row],[Net Earnings]]-Table1[[#This Row],[Fuel Cost]]</f>
        <v>2849</v>
      </c>
    </row>
    <row r="360" spans="1:12" ht="14.25" customHeight="1" x14ac:dyDescent="0.25">
      <c r="A360" s="3">
        <v>46253</v>
      </c>
      <c r="B360" s="1" t="s">
        <v>27</v>
      </c>
      <c r="C360" s="1" t="s">
        <v>28</v>
      </c>
      <c r="D360" s="1" t="s">
        <v>20</v>
      </c>
      <c r="E360" s="1" t="s">
        <v>23</v>
      </c>
      <c r="F360" s="1">
        <v>18</v>
      </c>
      <c r="G360" s="1">
        <v>4535</v>
      </c>
      <c r="H360" s="1">
        <v>910</v>
      </c>
      <c r="I360" s="1">
        <v>3625</v>
      </c>
      <c r="J360" s="1">
        <v>1350</v>
      </c>
      <c r="K360" s="1">
        <v>4.5</v>
      </c>
      <c r="L360" s="4">
        <f>Table1[[#This Row],[Net Earnings]]-Table1[[#This Row],[Fuel Cost]]</f>
        <v>2275</v>
      </c>
    </row>
    <row r="361" spans="1:12" ht="14.25" customHeight="1" x14ac:dyDescent="0.25">
      <c r="A361" s="3">
        <v>46254</v>
      </c>
      <c r="B361" s="1" t="s">
        <v>42</v>
      </c>
      <c r="C361" s="1" t="s">
        <v>43</v>
      </c>
      <c r="D361" s="1" t="s">
        <v>13</v>
      </c>
      <c r="E361" s="1" t="s">
        <v>17</v>
      </c>
      <c r="F361" s="1">
        <v>16</v>
      </c>
      <c r="G361" s="1">
        <v>4497</v>
      </c>
      <c r="H361" s="1">
        <v>900</v>
      </c>
      <c r="I361" s="1">
        <v>3597</v>
      </c>
      <c r="J361" s="1">
        <v>1360</v>
      </c>
      <c r="K361" s="1">
        <v>4.5999999999999996</v>
      </c>
      <c r="L361" s="4">
        <f>Table1[[#This Row],[Net Earnings]]-Table1[[#This Row],[Fuel Cost]]</f>
        <v>2237</v>
      </c>
    </row>
    <row r="362" spans="1:12" ht="14.25" customHeight="1" x14ac:dyDescent="0.25">
      <c r="A362" s="3">
        <v>46235</v>
      </c>
      <c r="B362" s="1" t="s">
        <v>21</v>
      </c>
      <c r="C362" s="1" t="s">
        <v>22</v>
      </c>
      <c r="D362" s="1" t="s">
        <v>20</v>
      </c>
      <c r="E362" s="1" t="s">
        <v>13</v>
      </c>
      <c r="F362" s="1">
        <v>26</v>
      </c>
      <c r="G362" s="1">
        <v>6116</v>
      </c>
      <c r="H362" s="1">
        <v>1280</v>
      </c>
      <c r="I362" s="1">
        <v>4836</v>
      </c>
      <c r="J362" s="1">
        <v>1730</v>
      </c>
      <c r="K362" s="1">
        <v>4.9000000000000004</v>
      </c>
      <c r="L362" s="4">
        <f>Table1[[#This Row],[Net Earnings]]-Table1[[#This Row],[Fuel Cost]]</f>
        <v>3106</v>
      </c>
    </row>
    <row r="363" spans="1:12" ht="14.25" customHeight="1" x14ac:dyDescent="0.25">
      <c r="A363" s="3">
        <v>46236</v>
      </c>
      <c r="B363" s="1" t="s">
        <v>36</v>
      </c>
      <c r="C363" s="1" t="s">
        <v>37</v>
      </c>
      <c r="D363" s="1" t="s">
        <v>13</v>
      </c>
      <c r="E363" s="1" t="s">
        <v>14</v>
      </c>
      <c r="F363" s="1">
        <v>15</v>
      </c>
      <c r="G363" s="1">
        <v>3622</v>
      </c>
      <c r="H363" s="1">
        <v>690</v>
      </c>
      <c r="I363" s="1">
        <v>2932</v>
      </c>
      <c r="J363" s="1">
        <v>1340</v>
      </c>
      <c r="K363" s="1">
        <v>4.5</v>
      </c>
      <c r="L363" s="4">
        <f>Table1[[#This Row],[Net Earnings]]-Table1[[#This Row],[Fuel Cost]]</f>
        <v>1592</v>
      </c>
    </row>
    <row r="364" spans="1:12" ht="14.25" customHeight="1" x14ac:dyDescent="0.25">
      <c r="A364" s="3">
        <v>46237</v>
      </c>
      <c r="B364" s="1" t="s">
        <v>15</v>
      </c>
      <c r="C364" s="1" t="s">
        <v>16</v>
      </c>
      <c r="D364" s="1" t="s">
        <v>14</v>
      </c>
      <c r="E364" s="1" t="s">
        <v>50</v>
      </c>
      <c r="F364" s="1">
        <v>19</v>
      </c>
      <c r="G364" s="1">
        <v>4503</v>
      </c>
      <c r="H364" s="1">
        <v>900</v>
      </c>
      <c r="I364" s="1">
        <v>3603</v>
      </c>
      <c r="J364" s="1">
        <v>1400</v>
      </c>
      <c r="K364" s="1">
        <v>4.5</v>
      </c>
      <c r="L364" s="4">
        <f>Table1[[#This Row],[Net Earnings]]-Table1[[#This Row],[Fuel Cost]]</f>
        <v>2203</v>
      </c>
    </row>
    <row r="365" spans="1:12" ht="14.25" customHeight="1" x14ac:dyDescent="0.25">
      <c r="A365" s="3">
        <v>46238</v>
      </c>
      <c r="B365" s="1" t="s">
        <v>30</v>
      </c>
      <c r="C365" s="1" t="s">
        <v>31</v>
      </c>
      <c r="D365" s="1" t="s">
        <v>20</v>
      </c>
      <c r="E365" s="1" t="s">
        <v>48</v>
      </c>
      <c r="F365" s="1">
        <v>27</v>
      </c>
      <c r="G365" s="1">
        <v>7343</v>
      </c>
      <c r="H365" s="1">
        <v>1470</v>
      </c>
      <c r="I365" s="1">
        <v>5873</v>
      </c>
      <c r="J365" s="1">
        <v>1770</v>
      </c>
      <c r="K365" s="1">
        <v>4.9000000000000004</v>
      </c>
      <c r="L365" s="4">
        <f>Table1[[#This Row],[Net Earnings]]-Table1[[#This Row],[Fuel Cost]]</f>
        <v>4103</v>
      </c>
    </row>
    <row r="366" spans="1:12" ht="14.25" customHeight="1" x14ac:dyDescent="0.25">
      <c r="A366" s="3">
        <v>46239</v>
      </c>
      <c r="B366" s="1" t="s">
        <v>45</v>
      </c>
      <c r="C366" s="1" t="s">
        <v>46</v>
      </c>
      <c r="D366" s="1" t="s">
        <v>14</v>
      </c>
      <c r="E366" s="1" t="s">
        <v>41</v>
      </c>
      <c r="F366" s="1">
        <v>26</v>
      </c>
      <c r="G366" s="1">
        <v>7211</v>
      </c>
      <c r="H366" s="1">
        <v>1300</v>
      </c>
      <c r="I366" s="1">
        <v>5911</v>
      </c>
      <c r="J366" s="1">
        <v>1760</v>
      </c>
      <c r="K366" s="1">
        <v>4.8</v>
      </c>
      <c r="L366" s="4">
        <f>Table1[[#This Row],[Net Earnings]]-Table1[[#This Row],[Fuel Cost]]</f>
        <v>4151</v>
      </c>
    </row>
    <row r="367" spans="1:12" ht="14.25" customHeight="1" x14ac:dyDescent="0.25">
      <c r="A367" s="3">
        <v>46240</v>
      </c>
      <c r="B367" s="1" t="s">
        <v>24</v>
      </c>
      <c r="C367" s="1" t="s">
        <v>25</v>
      </c>
      <c r="D367" s="1" t="s">
        <v>35</v>
      </c>
      <c r="E367" s="1" t="s">
        <v>20</v>
      </c>
      <c r="F367" s="1">
        <v>18</v>
      </c>
      <c r="G367" s="1">
        <v>4912</v>
      </c>
      <c r="H367" s="1">
        <v>930</v>
      </c>
      <c r="I367" s="1">
        <v>3982</v>
      </c>
      <c r="J367" s="1">
        <v>1370</v>
      </c>
      <c r="K367" s="1">
        <v>4.5</v>
      </c>
      <c r="L367" s="4">
        <f>Table1[[#This Row],[Net Earnings]]-Table1[[#This Row],[Fuel Cost]]</f>
        <v>2612</v>
      </c>
    </row>
    <row r="368" spans="1:12" ht="14.25" customHeight="1" x14ac:dyDescent="0.25">
      <c r="A368" s="3">
        <v>46241</v>
      </c>
      <c r="B368" s="1" t="s">
        <v>39</v>
      </c>
      <c r="C368" s="1" t="s">
        <v>40</v>
      </c>
      <c r="D368" s="1" t="s">
        <v>20</v>
      </c>
      <c r="E368" s="1" t="s">
        <v>29</v>
      </c>
      <c r="F368" s="1">
        <v>15</v>
      </c>
      <c r="G368" s="1">
        <v>4271</v>
      </c>
      <c r="H368" s="1">
        <v>810</v>
      </c>
      <c r="I368" s="1">
        <v>3461</v>
      </c>
      <c r="J368" s="1">
        <v>1280</v>
      </c>
      <c r="K368" s="1">
        <v>4.5</v>
      </c>
      <c r="L368" s="4">
        <f>Table1[[#This Row],[Net Earnings]]-Table1[[#This Row],[Fuel Cost]]</f>
        <v>2181</v>
      </c>
    </row>
    <row r="369" spans="1:12" ht="14.25" customHeight="1" x14ac:dyDescent="0.25">
      <c r="A369" s="3">
        <v>46242</v>
      </c>
      <c r="B369" s="1" t="s">
        <v>18</v>
      </c>
      <c r="C369" s="1" t="s">
        <v>19</v>
      </c>
      <c r="D369" s="1" t="s">
        <v>20</v>
      </c>
      <c r="E369" s="1" t="s">
        <v>23</v>
      </c>
      <c r="F369" s="1">
        <v>17</v>
      </c>
      <c r="G369" s="1">
        <v>4747</v>
      </c>
      <c r="H369" s="1">
        <v>900</v>
      </c>
      <c r="I369" s="1">
        <v>3847</v>
      </c>
      <c r="J369" s="1">
        <v>1440</v>
      </c>
      <c r="K369" s="1">
        <v>4.7</v>
      </c>
      <c r="L369" s="4">
        <f>Table1[[#This Row],[Net Earnings]]-Table1[[#This Row],[Fuel Cost]]</f>
        <v>2407</v>
      </c>
    </row>
    <row r="370" spans="1:12" ht="14.25" customHeight="1" x14ac:dyDescent="0.25">
      <c r="A370" s="3">
        <v>46243</v>
      </c>
      <c r="B370" s="1" t="s">
        <v>33</v>
      </c>
      <c r="C370" s="1" t="s">
        <v>34</v>
      </c>
      <c r="D370" s="1" t="s">
        <v>13</v>
      </c>
      <c r="E370" s="1" t="s">
        <v>17</v>
      </c>
      <c r="F370" s="1">
        <v>18</v>
      </c>
      <c r="G370" s="1">
        <v>4831</v>
      </c>
      <c r="H370" s="1">
        <v>970</v>
      </c>
      <c r="I370" s="1">
        <v>3861</v>
      </c>
      <c r="J370" s="1">
        <v>1530</v>
      </c>
      <c r="K370" s="1">
        <v>4.4000000000000004</v>
      </c>
      <c r="L370" s="4">
        <f>Table1[[#This Row],[Net Earnings]]-Table1[[#This Row],[Fuel Cost]]</f>
        <v>2331</v>
      </c>
    </row>
    <row r="371" spans="1:12" ht="14.25" customHeight="1" x14ac:dyDescent="0.25">
      <c r="A371" s="3">
        <v>46244</v>
      </c>
      <c r="B371" s="1" t="s">
        <v>11</v>
      </c>
      <c r="C371" s="1" t="s">
        <v>12</v>
      </c>
      <c r="D371" s="1" t="s">
        <v>13</v>
      </c>
      <c r="E371" s="1" t="s">
        <v>49</v>
      </c>
      <c r="F371" s="1">
        <v>24</v>
      </c>
      <c r="G371" s="1">
        <v>6400</v>
      </c>
      <c r="H371" s="1">
        <v>1280</v>
      </c>
      <c r="I371" s="1">
        <v>5120</v>
      </c>
      <c r="J371" s="1">
        <v>1450</v>
      </c>
      <c r="K371" s="1">
        <v>4.4000000000000004</v>
      </c>
      <c r="L371" s="4">
        <f>Table1[[#This Row],[Net Earnings]]-Table1[[#This Row],[Fuel Cost]]</f>
        <v>3670</v>
      </c>
    </row>
    <row r="372" spans="1:12" ht="14.25" customHeight="1" x14ac:dyDescent="0.25">
      <c r="A372" s="3">
        <v>46245</v>
      </c>
      <c r="B372" s="1" t="s">
        <v>27</v>
      </c>
      <c r="C372" s="1" t="s">
        <v>28</v>
      </c>
      <c r="D372" s="1" t="s">
        <v>14</v>
      </c>
      <c r="E372" s="1" t="s">
        <v>13</v>
      </c>
      <c r="F372" s="1">
        <v>26</v>
      </c>
      <c r="G372" s="1">
        <v>6381</v>
      </c>
      <c r="H372" s="1">
        <v>1280</v>
      </c>
      <c r="I372" s="1">
        <v>5101</v>
      </c>
      <c r="J372" s="1">
        <v>1550</v>
      </c>
      <c r="K372" s="1">
        <v>4.8</v>
      </c>
      <c r="L372" s="4">
        <f>Table1[[#This Row],[Net Earnings]]-Table1[[#This Row],[Fuel Cost]]</f>
        <v>3551</v>
      </c>
    </row>
    <row r="373" spans="1:12" ht="14.25" customHeight="1" x14ac:dyDescent="0.25">
      <c r="A373" s="3">
        <v>46246</v>
      </c>
      <c r="B373" s="1" t="s">
        <v>42</v>
      </c>
      <c r="C373" s="1" t="s">
        <v>43</v>
      </c>
      <c r="D373" s="1" t="s">
        <v>13</v>
      </c>
      <c r="E373" s="1" t="s">
        <v>44</v>
      </c>
      <c r="F373" s="1">
        <v>22</v>
      </c>
      <c r="G373" s="1">
        <v>6169</v>
      </c>
      <c r="H373" s="1">
        <v>1360</v>
      </c>
      <c r="I373" s="1">
        <v>4809</v>
      </c>
      <c r="J373" s="1">
        <v>1400</v>
      </c>
      <c r="K373" s="1">
        <v>4.5</v>
      </c>
      <c r="L373" s="4">
        <f>Table1[[#This Row],[Net Earnings]]-Table1[[#This Row],[Fuel Cost]]</f>
        <v>3409</v>
      </c>
    </row>
    <row r="374" spans="1:12" ht="14.25" customHeight="1" x14ac:dyDescent="0.25">
      <c r="A374" s="3">
        <v>46247</v>
      </c>
      <c r="B374" s="1" t="s">
        <v>21</v>
      </c>
      <c r="C374" s="1" t="s">
        <v>22</v>
      </c>
      <c r="D374" s="1" t="s">
        <v>20</v>
      </c>
      <c r="E374" s="1" t="s">
        <v>48</v>
      </c>
      <c r="F374" s="1">
        <v>25</v>
      </c>
      <c r="G374" s="1">
        <v>6139</v>
      </c>
      <c r="H374" s="1">
        <v>1110</v>
      </c>
      <c r="I374" s="1">
        <v>5029</v>
      </c>
      <c r="J374" s="1">
        <v>1800</v>
      </c>
      <c r="K374" s="1">
        <v>4.5999999999999996</v>
      </c>
      <c r="L374" s="4">
        <f>Table1[[#This Row],[Net Earnings]]-Table1[[#This Row],[Fuel Cost]]</f>
        <v>3229</v>
      </c>
    </row>
    <row r="375" spans="1:12" ht="14.25" customHeight="1" x14ac:dyDescent="0.25">
      <c r="A375" s="3">
        <v>46248</v>
      </c>
      <c r="B375" s="1" t="s">
        <v>36</v>
      </c>
      <c r="C375" s="1" t="s">
        <v>37</v>
      </c>
      <c r="D375" s="1" t="s">
        <v>14</v>
      </c>
      <c r="E375" s="1" t="s">
        <v>41</v>
      </c>
      <c r="F375" s="1">
        <v>22</v>
      </c>
      <c r="G375" s="1">
        <v>5378</v>
      </c>
      <c r="H375" s="1">
        <v>1020</v>
      </c>
      <c r="I375" s="1">
        <v>4358</v>
      </c>
      <c r="J375" s="1">
        <v>1400</v>
      </c>
      <c r="K375" s="1">
        <v>4.5999999999999996</v>
      </c>
      <c r="L375" s="4">
        <f>Table1[[#This Row],[Net Earnings]]-Table1[[#This Row],[Fuel Cost]]</f>
        <v>2958</v>
      </c>
    </row>
    <row r="376" spans="1:12" ht="14.25" customHeight="1" x14ac:dyDescent="0.25">
      <c r="A376" s="3">
        <v>46249</v>
      </c>
      <c r="B376" s="1" t="s">
        <v>15</v>
      </c>
      <c r="C376" s="1" t="s">
        <v>16</v>
      </c>
      <c r="D376" s="1" t="s">
        <v>35</v>
      </c>
      <c r="E376" s="1" t="s">
        <v>20</v>
      </c>
      <c r="F376" s="1">
        <v>26</v>
      </c>
      <c r="G376" s="1">
        <v>6153</v>
      </c>
      <c r="H376" s="1">
        <v>1170</v>
      </c>
      <c r="I376" s="1">
        <v>4983</v>
      </c>
      <c r="J376" s="1">
        <v>1760</v>
      </c>
      <c r="K376" s="1">
        <v>4.5</v>
      </c>
      <c r="L376" s="4">
        <f>Table1[[#This Row],[Net Earnings]]-Table1[[#This Row],[Fuel Cost]]</f>
        <v>3223</v>
      </c>
    </row>
    <row r="377" spans="1:12" ht="14.25" customHeight="1" x14ac:dyDescent="0.25">
      <c r="A377" s="3">
        <v>46250</v>
      </c>
      <c r="B377" s="1" t="s">
        <v>30</v>
      </c>
      <c r="C377" s="1" t="s">
        <v>31</v>
      </c>
      <c r="D377" s="1" t="s">
        <v>20</v>
      </c>
      <c r="E377" s="1" t="s">
        <v>29</v>
      </c>
      <c r="F377" s="1">
        <v>15</v>
      </c>
      <c r="G377" s="1">
        <v>3954</v>
      </c>
      <c r="H377" s="1">
        <v>870</v>
      </c>
      <c r="I377" s="1">
        <v>3084</v>
      </c>
      <c r="J377" s="1">
        <v>1420</v>
      </c>
      <c r="K377" s="1">
        <v>4.5999999999999996</v>
      </c>
      <c r="L377" s="4">
        <f>Table1[[#This Row],[Net Earnings]]-Table1[[#This Row],[Fuel Cost]]</f>
        <v>1664</v>
      </c>
    </row>
    <row r="378" spans="1:12" ht="14.25" customHeight="1" x14ac:dyDescent="0.25">
      <c r="A378" s="3">
        <v>46251</v>
      </c>
      <c r="B378" s="1" t="s">
        <v>45</v>
      </c>
      <c r="C378" s="1" t="s">
        <v>46</v>
      </c>
      <c r="D378" s="1" t="s">
        <v>20</v>
      </c>
      <c r="E378" s="1" t="s">
        <v>23</v>
      </c>
      <c r="F378" s="1">
        <v>23</v>
      </c>
      <c r="G378" s="1">
        <v>6425</v>
      </c>
      <c r="H378" s="1">
        <v>1220</v>
      </c>
      <c r="I378" s="1">
        <v>5205</v>
      </c>
      <c r="J378" s="1">
        <v>1720</v>
      </c>
      <c r="K378" s="1">
        <v>4.5</v>
      </c>
      <c r="L378" s="4">
        <f>Table1[[#This Row],[Net Earnings]]-Table1[[#This Row],[Fuel Cost]]</f>
        <v>3485</v>
      </c>
    </row>
    <row r="379" spans="1:12" ht="14.25" customHeight="1" x14ac:dyDescent="0.25">
      <c r="A379" s="3">
        <v>46252</v>
      </c>
      <c r="B379" s="1" t="s">
        <v>24</v>
      </c>
      <c r="C379" s="1" t="s">
        <v>25</v>
      </c>
      <c r="D379" s="1" t="s">
        <v>13</v>
      </c>
      <c r="E379" s="1" t="s">
        <v>17</v>
      </c>
      <c r="F379" s="1">
        <v>26</v>
      </c>
      <c r="G379" s="1">
        <v>6401</v>
      </c>
      <c r="H379" s="1">
        <v>1150</v>
      </c>
      <c r="I379" s="1">
        <v>5251</v>
      </c>
      <c r="J379" s="1">
        <v>1550</v>
      </c>
      <c r="K379" s="1">
        <v>4.8</v>
      </c>
      <c r="L379" s="4">
        <f>Table1[[#This Row],[Net Earnings]]-Table1[[#This Row],[Fuel Cost]]</f>
        <v>3701</v>
      </c>
    </row>
    <row r="380" spans="1:12" ht="14.25" customHeight="1" x14ac:dyDescent="0.25">
      <c r="A380" s="3">
        <v>46253</v>
      </c>
      <c r="B380" s="1" t="s">
        <v>39</v>
      </c>
      <c r="C380" s="1" t="s">
        <v>40</v>
      </c>
      <c r="D380" s="1" t="s">
        <v>13</v>
      </c>
      <c r="E380" s="1" t="s">
        <v>49</v>
      </c>
      <c r="F380" s="1">
        <v>19</v>
      </c>
      <c r="G380" s="1">
        <v>5420</v>
      </c>
      <c r="H380" s="1">
        <v>1030</v>
      </c>
      <c r="I380" s="1">
        <v>4390</v>
      </c>
      <c r="J380" s="1">
        <v>1400</v>
      </c>
      <c r="K380" s="1">
        <v>4.5</v>
      </c>
      <c r="L380" s="4">
        <f>Table1[[#This Row],[Net Earnings]]-Table1[[#This Row],[Fuel Cost]]</f>
        <v>2990</v>
      </c>
    </row>
    <row r="381" spans="1:12" ht="14.25" customHeight="1" x14ac:dyDescent="0.25">
      <c r="A381" s="3">
        <v>46254</v>
      </c>
      <c r="B381" s="1" t="s">
        <v>18</v>
      </c>
      <c r="C381" s="1" t="s">
        <v>19</v>
      </c>
      <c r="D381" s="1" t="s">
        <v>14</v>
      </c>
      <c r="E381" s="1" t="s">
        <v>13</v>
      </c>
      <c r="F381" s="1">
        <v>25</v>
      </c>
      <c r="G381" s="1">
        <v>6022</v>
      </c>
      <c r="H381" s="1">
        <v>1080</v>
      </c>
      <c r="I381" s="1">
        <v>4942</v>
      </c>
      <c r="J381" s="1">
        <v>1800</v>
      </c>
      <c r="K381" s="1">
        <v>4.5999999999999996</v>
      </c>
      <c r="L381" s="4">
        <f>Table1[[#This Row],[Net Earnings]]-Table1[[#This Row],[Fuel Cost]]</f>
        <v>3142</v>
      </c>
    </row>
    <row r="382" spans="1:12" ht="14.25" customHeight="1" x14ac:dyDescent="0.25">
      <c r="A382" s="3">
        <v>46235</v>
      </c>
      <c r="B382" s="1" t="s">
        <v>33</v>
      </c>
      <c r="C382" s="1" t="s">
        <v>34</v>
      </c>
      <c r="D382" s="1" t="s">
        <v>13</v>
      </c>
      <c r="E382" s="1" t="s">
        <v>44</v>
      </c>
      <c r="F382" s="1">
        <v>17</v>
      </c>
      <c r="G382" s="1">
        <v>4477</v>
      </c>
      <c r="H382" s="1">
        <v>900</v>
      </c>
      <c r="I382" s="1">
        <v>3577</v>
      </c>
      <c r="J382" s="1">
        <v>1500</v>
      </c>
      <c r="K382" s="1">
        <v>4.8</v>
      </c>
      <c r="L382" s="4">
        <f>Table1[[#This Row],[Net Earnings]]-Table1[[#This Row],[Fuel Cost]]</f>
        <v>2077</v>
      </c>
    </row>
    <row r="383" spans="1:12" ht="14.25" customHeight="1" x14ac:dyDescent="0.25">
      <c r="A383" s="3">
        <v>46236</v>
      </c>
      <c r="B383" s="1" t="s">
        <v>11</v>
      </c>
      <c r="C383" s="1" t="s">
        <v>12</v>
      </c>
      <c r="D383" s="1" t="s">
        <v>13</v>
      </c>
      <c r="E383" s="1" t="s">
        <v>38</v>
      </c>
      <c r="F383" s="1">
        <v>17</v>
      </c>
      <c r="G383" s="1">
        <v>4139</v>
      </c>
      <c r="H383" s="1">
        <v>790</v>
      </c>
      <c r="I383" s="1">
        <v>3349</v>
      </c>
      <c r="J383" s="1">
        <v>1380</v>
      </c>
      <c r="K383" s="1">
        <v>4.5999999999999996</v>
      </c>
      <c r="L383" s="4">
        <f>Table1[[#This Row],[Net Earnings]]-Table1[[#This Row],[Fuel Cost]]</f>
        <v>1969</v>
      </c>
    </row>
    <row r="384" spans="1:12" ht="14.25" customHeight="1" x14ac:dyDescent="0.25">
      <c r="A384" s="3">
        <v>46237</v>
      </c>
      <c r="B384" s="1" t="s">
        <v>27</v>
      </c>
      <c r="C384" s="1" t="s">
        <v>28</v>
      </c>
      <c r="D384" s="1" t="s">
        <v>20</v>
      </c>
      <c r="E384" s="1" t="s">
        <v>26</v>
      </c>
      <c r="F384" s="1">
        <v>27</v>
      </c>
      <c r="G384" s="1">
        <v>6550</v>
      </c>
      <c r="H384" s="1">
        <v>1310</v>
      </c>
      <c r="I384" s="1">
        <v>5240</v>
      </c>
      <c r="J384" s="1">
        <v>1660</v>
      </c>
      <c r="K384" s="1">
        <v>4.7</v>
      </c>
      <c r="L384" s="4">
        <f>Table1[[#This Row],[Net Earnings]]-Table1[[#This Row],[Fuel Cost]]</f>
        <v>3580</v>
      </c>
    </row>
    <row r="385" spans="1:12" ht="14.25" customHeight="1" x14ac:dyDescent="0.25">
      <c r="A385" s="3">
        <v>46238</v>
      </c>
      <c r="B385" s="1" t="s">
        <v>42</v>
      </c>
      <c r="C385" s="1" t="s">
        <v>43</v>
      </c>
      <c r="D385" s="1" t="s">
        <v>20</v>
      </c>
      <c r="E385" s="1" t="s">
        <v>13</v>
      </c>
      <c r="F385" s="1">
        <v>20</v>
      </c>
      <c r="G385" s="1">
        <v>5675</v>
      </c>
      <c r="H385" s="1">
        <v>1250</v>
      </c>
      <c r="I385" s="1">
        <v>4425</v>
      </c>
      <c r="J385" s="1">
        <v>1450</v>
      </c>
      <c r="K385" s="1">
        <v>4.9000000000000004</v>
      </c>
      <c r="L385" s="4">
        <f>Table1[[#This Row],[Net Earnings]]-Table1[[#This Row],[Fuel Cost]]</f>
        <v>2975</v>
      </c>
    </row>
    <row r="386" spans="1:12" ht="14.25" customHeight="1" x14ac:dyDescent="0.25">
      <c r="A386" s="3">
        <v>46239</v>
      </c>
      <c r="B386" s="1" t="s">
        <v>21</v>
      </c>
      <c r="C386" s="1" t="s">
        <v>22</v>
      </c>
      <c r="D386" s="1" t="s">
        <v>20</v>
      </c>
      <c r="E386" s="1" t="s">
        <v>29</v>
      </c>
      <c r="F386" s="1">
        <v>15</v>
      </c>
      <c r="G386" s="1">
        <v>3710</v>
      </c>
      <c r="H386" s="1">
        <v>820</v>
      </c>
      <c r="I386" s="1">
        <v>2890</v>
      </c>
      <c r="J386" s="1">
        <v>1280</v>
      </c>
      <c r="K386" s="1">
        <v>4.4000000000000004</v>
      </c>
      <c r="L386" s="4">
        <f>Table1[[#This Row],[Net Earnings]]-Table1[[#This Row],[Fuel Cost]]</f>
        <v>1610</v>
      </c>
    </row>
    <row r="387" spans="1:12" ht="14.25" customHeight="1" x14ac:dyDescent="0.25">
      <c r="A387" s="3">
        <v>46240</v>
      </c>
      <c r="B387" s="1" t="s">
        <v>36</v>
      </c>
      <c r="C387" s="1" t="s">
        <v>37</v>
      </c>
      <c r="D387" s="1" t="s">
        <v>20</v>
      </c>
      <c r="E387" s="1" t="s">
        <v>23</v>
      </c>
      <c r="F387" s="1">
        <v>23</v>
      </c>
      <c r="G387" s="1">
        <v>6014</v>
      </c>
      <c r="H387" s="1">
        <v>1200</v>
      </c>
      <c r="I387" s="1">
        <v>4814</v>
      </c>
      <c r="J387" s="1">
        <v>1560</v>
      </c>
      <c r="K387" s="1">
        <v>4.7</v>
      </c>
      <c r="L387" s="4">
        <f>Table1[[#This Row],[Net Earnings]]-Table1[[#This Row],[Fuel Cost]]</f>
        <v>3254</v>
      </c>
    </row>
    <row r="388" spans="1:12" ht="14.25" customHeight="1" x14ac:dyDescent="0.25">
      <c r="A388" s="3">
        <v>46241</v>
      </c>
      <c r="B388" s="1" t="s">
        <v>15</v>
      </c>
      <c r="C388" s="1" t="s">
        <v>16</v>
      </c>
      <c r="D388" s="1" t="s">
        <v>13</v>
      </c>
      <c r="E388" s="1" t="s">
        <v>17</v>
      </c>
      <c r="F388" s="1">
        <v>22</v>
      </c>
      <c r="G388" s="1">
        <v>5322</v>
      </c>
      <c r="H388" s="1">
        <v>1170</v>
      </c>
      <c r="I388" s="1">
        <v>4152</v>
      </c>
      <c r="J388" s="1">
        <v>1470</v>
      </c>
      <c r="K388" s="1">
        <v>4.5</v>
      </c>
      <c r="L388" s="4">
        <f>Table1[[#This Row],[Net Earnings]]-Table1[[#This Row],[Fuel Cost]]</f>
        <v>2682</v>
      </c>
    </row>
    <row r="389" spans="1:12" ht="14.25" customHeight="1" x14ac:dyDescent="0.25">
      <c r="A389" s="3">
        <v>46242</v>
      </c>
      <c r="B389" s="1" t="s">
        <v>30</v>
      </c>
      <c r="C389" s="1" t="s">
        <v>31</v>
      </c>
      <c r="D389" s="1" t="s">
        <v>13</v>
      </c>
      <c r="E389" s="1" t="s">
        <v>49</v>
      </c>
      <c r="F389" s="1">
        <v>25</v>
      </c>
      <c r="G389" s="1">
        <v>6450</v>
      </c>
      <c r="H389" s="1">
        <v>1420</v>
      </c>
      <c r="I389" s="1">
        <v>5030</v>
      </c>
      <c r="J389" s="1">
        <v>1780</v>
      </c>
      <c r="K389" s="1">
        <v>4.7</v>
      </c>
      <c r="L389" s="4">
        <f>Table1[[#This Row],[Net Earnings]]-Table1[[#This Row],[Fuel Cost]]</f>
        <v>3250</v>
      </c>
    </row>
    <row r="390" spans="1:12" ht="14.25" customHeight="1" x14ac:dyDescent="0.25">
      <c r="A390" s="3">
        <v>46243</v>
      </c>
      <c r="B390" s="1" t="s">
        <v>45</v>
      </c>
      <c r="C390" s="1" t="s">
        <v>46</v>
      </c>
      <c r="D390" s="1" t="s">
        <v>14</v>
      </c>
      <c r="E390" s="1" t="s">
        <v>13</v>
      </c>
      <c r="F390" s="1">
        <v>25</v>
      </c>
      <c r="G390" s="1">
        <v>7138</v>
      </c>
      <c r="H390" s="1">
        <v>1360</v>
      </c>
      <c r="I390" s="1">
        <v>5778</v>
      </c>
      <c r="J390" s="1">
        <v>1600</v>
      </c>
      <c r="K390" s="1">
        <v>4.5999999999999996</v>
      </c>
      <c r="L390" s="4">
        <f>Table1[[#This Row],[Net Earnings]]-Table1[[#This Row],[Fuel Cost]]</f>
        <v>4178</v>
      </c>
    </row>
    <row r="391" spans="1:12" ht="14.25" customHeight="1" x14ac:dyDescent="0.25">
      <c r="A391" s="3">
        <v>46244</v>
      </c>
      <c r="B391" s="1" t="s">
        <v>24</v>
      </c>
      <c r="C391" s="1" t="s">
        <v>25</v>
      </c>
      <c r="D391" s="1" t="s">
        <v>13</v>
      </c>
      <c r="E391" s="1" t="s">
        <v>44</v>
      </c>
      <c r="F391" s="1">
        <v>24</v>
      </c>
      <c r="G391" s="1">
        <v>6203</v>
      </c>
      <c r="H391" s="1">
        <v>1240</v>
      </c>
      <c r="I391" s="1">
        <v>4963</v>
      </c>
      <c r="J391" s="1">
        <v>1690</v>
      </c>
      <c r="K391" s="1">
        <v>4.8</v>
      </c>
      <c r="L391" s="4">
        <f>Table1[[#This Row],[Net Earnings]]-Table1[[#This Row],[Fuel Cost]]</f>
        <v>3273</v>
      </c>
    </row>
    <row r="392" spans="1:12" ht="14.25" customHeight="1" x14ac:dyDescent="0.25">
      <c r="A392" s="3">
        <v>46245</v>
      </c>
      <c r="B392" s="1" t="s">
        <v>39</v>
      </c>
      <c r="C392" s="1" t="s">
        <v>40</v>
      </c>
      <c r="D392" s="1" t="s">
        <v>13</v>
      </c>
      <c r="E392" s="1" t="s">
        <v>38</v>
      </c>
      <c r="F392" s="1">
        <v>25</v>
      </c>
      <c r="G392" s="1">
        <v>6379</v>
      </c>
      <c r="H392" s="1">
        <v>1280</v>
      </c>
      <c r="I392" s="1">
        <v>5099</v>
      </c>
      <c r="J392" s="1">
        <v>1720</v>
      </c>
      <c r="K392" s="1">
        <v>4.5999999999999996</v>
      </c>
      <c r="L392" s="4">
        <f>Table1[[#This Row],[Net Earnings]]-Table1[[#This Row],[Fuel Cost]]</f>
        <v>3379</v>
      </c>
    </row>
    <row r="393" spans="1:12" ht="14.25" customHeight="1" x14ac:dyDescent="0.25">
      <c r="A393" s="3">
        <v>46246</v>
      </c>
      <c r="B393" s="1" t="s">
        <v>18</v>
      </c>
      <c r="C393" s="1" t="s">
        <v>19</v>
      </c>
      <c r="D393" s="1" t="s">
        <v>20</v>
      </c>
      <c r="E393" s="1" t="s">
        <v>26</v>
      </c>
      <c r="F393" s="1">
        <v>20</v>
      </c>
      <c r="G393" s="1">
        <v>5555</v>
      </c>
      <c r="H393" s="1">
        <v>1220</v>
      </c>
      <c r="I393" s="1">
        <v>4335</v>
      </c>
      <c r="J393" s="1">
        <v>1390</v>
      </c>
      <c r="K393" s="1">
        <v>4.5</v>
      </c>
      <c r="L393" s="4">
        <f>Table1[[#This Row],[Net Earnings]]-Table1[[#This Row],[Fuel Cost]]</f>
        <v>2945</v>
      </c>
    </row>
    <row r="394" spans="1:12" ht="14.25" customHeight="1" x14ac:dyDescent="0.25">
      <c r="A394" s="3">
        <v>46247</v>
      </c>
      <c r="B394" s="1" t="s">
        <v>33</v>
      </c>
      <c r="C394" s="1" t="s">
        <v>34</v>
      </c>
      <c r="D394" s="1" t="s">
        <v>20</v>
      </c>
      <c r="E394" s="1" t="s">
        <v>13</v>
      </c>
      <c r="F394" s="1">
        <v>24</v>
      </c>
      <c r="G394" s="1">
        <v>6289</v>
      </c>
      <c r="H394" s="1">
        <v>1190</v>
      </c>
      <c r="I394" s="1">
        <v>5099</v>
      </c>
      <c r="J394" s="1">
        <v>1670</v>
      </c>
      <c r="K394" s="1">
        <v>4.7</v>
      </c>
      <c r="L394" s="4">
        <f>Table1[[#This Row],[Net Earnings]]-Table1[[#This Row],[Fuel Cost]]</f>
        <v>3429</v>
      </c>
    </row>
    <row r="395" spans="1:12" ht="14.25" customHeight="1" x14ac:dyDescent="0.25">
      <c r="A395" s="3">
        <v>46248</v>
      </c>
      <c r="B395" s="1" t="s">
        <v>11</v>
      </c>
      <c r="C395" s="1" t="s">
        <v>12</v>
      </c>
      <c r="D395" s="1" t="s">
        <v>13</v>
      </c>
      <c r="E395" s="1" t="s">
        <v>14</v>
      </c>
      <c r="F395" s="1">
        <v>20</v>
      </c>
      <c r="G395" s="1">
        <v>5513</v>
      </c>
      <c r="H395" s="1">
        <v>990</v>
      </c>
      <c r="I395" s="1">
        <v>4523</v>
      </c>
      <c r="J395" s="1">
        <v>1430</v>
      </c>
      <c r="K395" s="1">
        <v>4.5</v>
      </c>
      <c r="L395" s="4">
        <f>Table1[[#This Row],[Net Earnings]]-Table1[[#This Row],[Fuel Cost]]</f>
        <v>3093</v>
      </c>
    </row>
    <row r="396" spans="1:12" ht="14.25" customHeight="1" x14ac:dyDescent="0.25">
      <c r="A396" s="3">
        <v>46249</v>
      </c>
      <c r="B396" s="1" t="s">
        <v>27</v>
      </c>
      <c r="C396" s="1" t="s">
        <v>28</v>
      </c>
      <c r="D396" s="1" t="s">
        <v>14</v>
      </c>
      <c r="E396" s="1" t="s">
        <v>50</v>
      </c>
      <c r="F396" s="1">
        <v>20</v>
      </c>
      <c r="G396" s="1">
        <v>5748</v>
      </c>
      <c r="H396" s="1">
        <v>1260</v>
      </c>
      <c r="I396" s="1">
        <v>4488</v>
      </c>
      <c r="J396" s="1">
        <v>1550</v>
      </c>
      <c r="K396" s="1">
        <v>4.5999999999999996</v>
      </c>
      <c r="L396" s="4">
        <f>Table1[[#This Row],[Net Earnings]]-Table1[[#This Row],[Fuel Cost]]</f>
        <v>2938</v>
      </c>
    </row>
    <row r="397" spans="1:12" ht="14.25" customHeight="1" x14ac:dyDescent="0.25">
      <c r="A397" s="3">
        <v>46250</v>
      </c>
      <c r="B397" s="1" t="s">
        <v>42</v>
      </c>
      <c r="C397" s="1" t="s">
        <v>43</v>
      </c>
      <c r="D397" s="1" t="s">
        <v>20</v>
      </c>
      <c r="E397" s="1" t="s">
        <v>48</v>
      </c>
      <c r="F397" s="1">
        <v>21</v>
      </c>
      <c r="G397" s="1">
        <v>5595</v>
      </c>
      <c r="H397" s="1">
        <v>1060</v>
      </c>
      <c r="I397" s="1">
        <v>4535</v>
      </c>
      <c r="J397" s="1">
        <v>1540</v>
      </c>
      <c r="K397" s="1">
        <v>4.5999999999999996</v>
      </c>
      <c r="L397" s="4">
        <f>Table1[[#This Row],[Net Earnings]]-Table1[[#This Row],[Fuel Cost]]</f>
        <v>2995</v>
      </c>
    </row>
    <row r="398" spans="1:12" ht="14.25" customHeight="1" x14ac:dyDescent="0.25">
      <c r="A398" s="3">
        <v>46251</v>
      </c>
      <c r="B398" s="1" t="s">
        <v>21</v>
      </c>
      <c r="C398" s="1" t="s">
        <v>22</v>
      </c>
      <c r="D398" s="1" t="s">
        <v>13</v>
      </c>
      <c r="E398" s="1" t="s">
        <v>49</v>
      </c>
      <c r="F398" s="1">
        <v>26</v>
      </c>
      <c r="G398" s="1">
        <v>7275</v>
      </c>
      <c r="H398" s="1">
        <v>1310</v>
      </c>
      <c r="I398" s="1">
        <v>5965</v>
      </c>
      <c r="J398" s="1">
        <v>1600</v>
      </c>
      <c r="K398" s="1">
        <v>4.7</v>
      </c>
      <c r="L398" s="4">
        <f>Table1[[#This Row],[Net Earnings]]-Table1[[#This Row],[Fuel Cost]]</f>
        <v>4365</v>
      </c>
    </row>
    <row r="399" spans="1:12" ht="14.25" customHeight="1" x14ac:dyDescent="0.25">
      <c r="A399" s="3">
        <v>46252</v>
      </c>
      <c r="B399" s="1" t="s">
        <v>36</v>
      </c>
      <c r="C399" s="1" t="s">
        <v>37</v>
      </c>
      <c r="D399" s="1" t="s">
        <v>14</v>
      </c>
      <c r="E399" s="1" t="s">
        <v>13</v>
      </c>
      <c r="F399" s="1">
        <v>24</v>
      </c>
      <c r="G399" s="1">
        <v>6561</v>
      </c>
      <c r="H399" s="1">
        <v>1180</v>
      </c>
      <c r="I399" s="1">
        <v>5381</v>
      </c>
      <c r="J399" s="1">
        <v>1760</v>
      </c>
      <c r="K399" s="1">
        <v>4.9000000000000004</v>
      </c>
      <c r="L399" s="4">
        <f>Table1[[#This Row],[Net Earnings]]-Table1[[#This Row],[Fuel Cost]]</f>
        <v>3621</v>
      </c>
    </row>
    <row r="400" spans="1:12" ht="14.25" customHeight="1" x14ac:dyDescent="0.25">
      <c r="A400" s="3">
        <v>46253</v>
      </c>
      <c r="B400" s="1" t="s">
        <v>15</v>
      </c>
      <c r="C400" s="1" t="s">
        <v>16</v>
      </c>
      <c r="D400" s="1" t="s">
        <v>13</v>
      </c>
      <c r="E400" s="1" t="s">
        <v>44</v>
      </c>
      <c r="F400" s="1">
        <v>17</v>
      </c>
      <c r="G400" s="1">
        <v>4705</v>
      </c>
      <c r="H400" s="1">
        <v>890</v>
      </c>
      <c r="I400" s="1">
        <v>3815</v>
      </c>
      <c r="J400" s="1">
        <v>1480</v>
      </c>
      <c r="K400" s="1">
        <v>4.5</v>
      </c>
      <c r="L400" s="4">
        <f>Table1[[#This Row],[Net Earnings]]-Table1[[#This Row],[Fuel Cost]]</f>
        <v>2335</v>
      </c>
    </row>
    <row r="401" spans="1:12" ht="14.25" customHeight="1" x14ac:dyDescent="0.25">
      <c r="A401" s="3">
        <v>46254</v>
      </c>
      <c r="B401" s="1" t="s">
        <v>30</v>
      </c>
      <c r="C401" s="1" t="s">
        <v>31</v>
      </c>
      <c r="D401" s="1" t="s">
        <v>13</v>
      </c>
      <c r="E401" s="1" t="s">
        <v>38</v>
      </c>
      <c r="F401" s="1">
        <v>14</v>
      </c>
      <c r="G401" s="1">
        <v>3280</v>
      </c>
      <c r="H401" s="1">
        <v>690</v>
      </c>
      <c r="I401" s="1">
        <v>2590</v>
      </c>
      <c r="J401" s="1">
        <v>1330</v>
      </c>
      <c r="K401" s="1">
        <v>4.8</v>
      </c>
      <c r="L401" s="4">
        <f>Table1[[#This Row],[Net Earnings]]-Table1[[#This Row],[Fuel Cost]]</f>
        <v>1260</v>
      </c>
    </row>
    <row r="402" spans="1:12" ht="14.25" customHeight="1" x14ac:dyDescent="0.25">
      <c r="A402" s="3">
        <v>46255</v>
      </c>
      <c r="B402" s="1" t="s">
        <v>30</v>
      </c>
      <c r="C402" s="1" t="s">
        <v>31</v>
      </c>
      <c r="D402" s="1" t="s">
        <v>13</v>
      </c>
      <c r="E402" s="1" t="s">
        <v>49</v>
      </c>
      <c r="F402" s="1">
        <v>16</v>
      </c>
      <c r="G402" s="1">
        <v>4377</v>
      </c>
      <c r="H402" s="1">
        <v>960</v>
      </c>
      <c r="I402" s="1">
        <v>3417</v>
      </c>
      <c r="J402" s="1">
        <v>1320</v>
      </c>
      <c r="K402" s="1">
        <v>4.8</v>
      </c>
      <c r="L402" s="4">
        <f>Table1[[#This Row],[Net Earnings]]-Table1[[#This Row],[Fuel Cost]]</f>
        <v>2097</v>
      </c>
    </row>
    <row r="403" spans="1:12" ht="14.25" customHeight="1" x14ac:dyDescent="0.25">
      <c r="A403" s="3">
        <v>46256</v>
      </c>
      <c r="B403" s="1" t="s">
        <v>33</v>
      </c>
      <c r="C403" s="1" t="s">
        <v>34</v>
      </c>
      <c r="D403" s="1" t="s">
        <v>14</v>
      </c>
      <c r="E403" s="1" t="s">
        <v>50</v>
      </c>
      <c r="F403" s="1">
        <v>26</v>
      </c>
      <c r="G403" s="1">
        <v>7801</v>
      </c>
      <c r="H403" s="1">
        <v>1720</v>
      </c>
      <c r="I403" s="1">
        <v>6081</v>
      </c>
      <c r="J403" s="1">
        <v>1640</v>
      </c>
      <c r="K403" s="1">
        <v>4.3</v>
      </c>
      <c r="L403" s="4">
        <f>Table1[[#This Row],[Net Earnings]]-Table1[[#This Row],[Fuel Cost]]</f>
        <v>4441</v>
      </c>
    </row>
    <row r="404" spans="1:12" ht="14.25" customHeight="1" x14ac:dyDescent="0.25">
      <c r="A404" s="3">
        <v>46257</v>
      </c>
      <c r="B404" s="1" t="s">
        <v>36</v>
      </c>
      <c r="C404" s="1" t="s">
        <v>37</v>
      </c>
      <c r="D404" s="1" t="s">
        <v>13</v>
      </c>
      <c r="E404" s="1" t="s">
        <v>51</v>
      </c>
      <c r="F404" s="1">
        <v>15</v>
      </c>
      <c r="G404" s="1">
        <v>3612</v>
      </c>
      <c r="H404" s="1">
        <v>650</v>
      </c>
      <c r="I404" s="1">
        <v>2962</v>
      </c>
      <c r="J404" s="1">
        <v>1220</v>
      </c>
      <c r="K404" s="1">
        <v>4.8</v>
      </c>
      <c r="L404" s="4">
        <f>Table1[[#This Row],[Net Earnings]]-Table1[[#This Row],[Fuel Cost]]</f>
        <v>1742</v>
      </c>
    </row>
    <row r="405" spans="1:12" ht="14.25" customHeight="1" x14ac:dyDescent="0.25">
      <c r="A405" s="3">
        <v>46258</v>
      </c>
      <c r="B405" s="1" t="s">
        <v>39</v>
      </c>
      <c r="C405" s="1" t="s">
        <v>40</v>
      </c>
      <c r="D405" s="1" t="s">
        <v>13</v>
      </c>
      <c r="E405" s="1" t="s">
        <v>14</v>
      </c>
      <c r="F405" s="1">
        <v>28</v>
      </c>
      <c r="G405" s="1">
        <v>7407</v>
      </c>
      <c r="H405" s="1">
        <v>1560</v>
      </c>
      <c r="I405" s="1">
        <v>5847</v>
      </c>
      <c r="J405" s="1">
        <v>1650</v>
      </c>
      <c r="K405" s="1">
        <v>4.9000000000000004</v>
      </c>
      <c r="L405" s="4">
        <f>Table1[[#This Row],[Net Earnings]]-Table1[[#This Row],[Fuel Cost]]</f>
        <v>4197</v>
      </c>
    </row>
    <row r="406" spans="1:12" ht="14.25" customHeight="1" x14ac:dyDescent="0.25">
      <c r="A406" s="3">
        <v>46259</v>
      </c>
      <c r="B406" s="1" t="s">
        <v>42</v>
      </c>
      <c r="C406" s="1" t="s">
        <v>43</v>
      </c>
      <c r="D406" s="1" t="s">
        <v>13</v>
      </c>
      <c r="E406" s="1" t="s">
        <v>17</v>
      </c>
      <c r="F406" s="1">
        <v>24</v>
      </c>
      <c r="G406" s="1">
        <v>6471</v>
      </c>
      <c r="H406" s="1">
        <v>1290</v>
      </c>
      <c r="I406" s="1">
        <v>5181</v>
      </c>
      <c r="J406" s="1">
        <v>1510</v>
      </c>
      <c r="K406" s="1">
        <v>4.5999999999999996</v>
      </c>
      <c r="L406" s="4">
        <f>Table1[[#This Row],[Net Earnings]]-Table1[[#This Row],[Fuel Cost]]</f>
        <v>3671</v>
      </c>
    </row>
    <row r="407" spans="1:12" ht="14.25" customHeight="1" x14ac:dyDescent="0.25">
      <c r="A407" s="3">
        <v>46260</v>
      </c>
      <c r="B407" s="1" t="s">
        <v>45</v>
      </c>
      <c r="C407" s="1" t="s">
        <v>46</v>
      </c>
      <c r="D407" s="1" t="s">
        <v>20</v>
      </c>
      <c r="E407" s="1" t="s">
        <v>13</v>
      </c>
      <c r="F407" s="1">
        <v>22</v>
      </c>
      <c r="G407" s="1">
        <v>6178</v>
      </c>
      <c r="H407" s="1">
        <v>1360</v>
      </c>
      <c r="I407" s="1">
        <v>4818</v>
      </c>
      <c r="J407" s="1">
        <v>1390</v>
      </c>
      <c r="K407" s="1">
        <v>4.8</v>
      </c>
      <c r="L407" s="4">
        <f>Table1[[#This Row],[Net Earnings]]-Table1[[#This Row],[Fuel Cost]]</f>
        <v>3428</v>
      </c>
    </row>
    <row r="408" spans="1:12" ht="14.25" customHeight="1" x14ac:dyDescent="0.25">
      <c r="A408" s="3">
        <v>46261</v>
      </c>
      <c r="B408" s="1" t="s">
        <v>11</v>
      </c>
      <c r="C408" s="1" t="s">
        <v>12</v>
      </c>
      <c r="D408" s="1" t="s">
        <v>20</v>
      </c>
      <c r="E408" s="1" t="s">
        <v>23</v>
      </c>
      <c r="F408" s="1">
        <v>24</v>
      </c>
      <c r="G408" s="1">
        <v>6620</v>
      </c>
      <c r="H408" s="1">
        <v>1390</v>
      </c>
      <c r="I408" s="1">
        <v>5230</v>
      </c>
      <c r="J408" s="1">
        <v>1470</v>
      </c>
      <c r="K408" s="1">
        <v>4.8</v>
      </c>
      <c r="L408" s="4">
        <f>Table1[[#This Row],[Net Earnings]]-Table1[[#This Row],[Fuel Cost]]</f>
        <v>3760</v>
      </c>
    </row>
    <row r="409" spans="1:12" ht="14.25" customHeight="1" x14ac:dyDescent="0.25">
      <c r="A409" s="3">
        <v>46262</v>
      </c>
      <c r="B409" s="1" t="s">
        <v>15</v>
      </c>
      <c r="C409" s="1" t="s">
        <v>16</v>
      </c>
      <c r="D409" s="1" t="s">
        <v>20</v>
      </c>
      <c r="E409" s="1" t="s">
        <v>26</v>
      </c>
      <c r="F409" s="1">
        <v>28</v>
      </c>
      <c r="G409" s="1">
        <v>6789</v>
      </c>
      <c r="H409" s="1">
        <v>1490</v>
      </c>
      <c r="I409" s="1">
        <v>5299</v>
      </c>
      <c r="J409" s="1">
        <v>1940</v>
      </c>
      <c r="K409" s="1">
        <v>4.8</v>
      </c>
      <c r="L409" s="4">
        <f>Table1[[#This Row],[Net Earnings]]-Table1[[#This Row],[Fuel Cost]]</f>
        <v>3359</v>
      </c>
    </row>
    <row r="410" spans="1:12" ht="14.25" customHeight="1" x14ac:dyDescent="0.25">
      <c r="A410" s="3">
        <v>46263</v>
      </c>
      <c r="B410" s="1" t="s">
        <v>18</v>
      </c>
      <c r="C410" s="1" t="s">
        <v>19</v>
      </c>
      <c r="D410" s="1" t="s">
        <v>20</v>
      </c>
      <c r="E410" s="1" t="s">
        <v>29</v>
      </c>
      <c r="F410" s="1">
        <v>25</v>
      </c>
      <c r="G410" s="1">
        <v>7312</v>
      </c>
      <c r="H410" s="1">
        <v>1540</v>
      </c>
      <c r="I410" s="1">
        <v>5772</v>
      </c>
      <c r="J410" s="1">
        <v>1720</v>
      </c>
      <c r="K410" s="1">
        <v>4.5999999999999996</v>
      </c>
      <c r="L410" s="4">
        <f>Table1[[#This Row],[Net Earnings]]-Table1[[#This Row],[Fuel Cost]]</f>
        <v>4052</v>
      </c>
    </row>
    <row r="411" spans="1:12" ht="14.25" customHeight="1" x14ac:dyDescent="0.25">
      <c r="A411" s="3">
        <v>46264</v>
      </c>
      <c r="B411" s="1" t="s">
        <v>21</v>
      </c>
      <c r="C411" s="1" t="s">
        <v>22</v>
      </c>
      <c r="D411" s="1" t="s">
        <v>14</v>
      </c>
      <c r="E411" s="1" t="s">
        <v>32</v>
      </c>
      <c r="F411" s="1">
        <v>13</v>
      </c>
      <c r="G411" s="1">
        <v>3235</v>
      </c>
      <c r="H411" s="1">
        <v>580</v>
      </c>
      <c r="I411" s="1">
        <v>2655</v>
      </c>
      <c r="J411" s="1">
        <v>1330</v>
      </c>
      <c r="K411" s="1">
        <v>4.8</v>
      </c>
      <c r="L411" s="4">
        <f>Table1[[#This Row],[Net Earnings]]-Table1[[#This Row],[Fuel Cost]]</f>
        <v>1325</v>
      </c>
    </row>
    <row r="412" spans="1:12" ht="14.25" customHeight="1" x14ac:dyDescent="0.25">
      <c r="A412" s="3">
        <v>46265</v>
      </c>
      <c r="B412" s="1" t="s">
        <v>24</v>
      </c>
      <c r="C412" s="1" t="s">
        <v>25</v>
      </c>
      <c r="D412" s="1" t="s">
        <v>35</v>
      </c>
      <c r="E412" s="1" t="s">
        <v>20</v>
      </c>
      <c r="F412" s="1">
        <v>16</v>
      </c>
      <c r="G412" s="1">
        <v>4584</v>
      </c>
      <c r="H412" s="1">
        <v>870</v>
      </c>
      <c r="I412" s="1">
        <v>3714</v>
      </c>
      <c r="J412" s="1">
        <v>1310</v>
      </c>
      <c r="K412" s="1">
        <v>4.8</v>
      </c>
      <c r="L412" s="4">
        <f>Table1[[#This Row],[Net Earnings]]-Table1[[#This Row],[Fuel Cost]]</f>
        <v>2404</v>
      </c>
    </row>
    <row r="413" spans="1:12" ht="14.25" customHeight="1" x14ac:dyDescent="0.25">
      <c r="A413" s="3">
        <v>46266</v>
      </c>
      <c r="B413" s="1" t="s">
        <v>27</v>
      </c>
      <c r="C413" s="1" t="s">
        <v>28</v>
      </c>
      <c r="D413" s="1" t="s">
        <v>13</v>
      </c>
      <c r="E413" s="1" t="s">
        <v>38</v>
      </c>
      <c r="F413" s="1">
        <v>16</v>
      </c>
      <c r="G413" s="1">
        <v>4648</v>
      </c>
      <c r="H413" s="1">
        <v>1020</v>
      </c>
      <c r="I413" s="1">
        <v>3628</v>
      </c>
      <c r="J413" s="1">
        <v>1340</v>
      </c>
      <c r="K413" s="1">
        <v>4.5</v>
      </c>
      <c r="L413" s="4">
        <f>Table1[[#This Row],[Net Earnings]]-Table1[[#This Row],[Fuel Cost]]</f>
        <v>2288</v>
      </c>
    </row>
    <row r="414" spans="1:12" ht="14.25" customHeight="1" x14ac:dyDescent="0.25">
      <c r="A414" s="3">
        <v>46267</v>
      </c>
      <c r="B414" s="1" t="s">
        <v>30</v>
      </c>
      <c r="C414" s="1" t="s">
        <v>31</v>
      </c>
      <c r="D414" s="1" t="s">
        <v>14</v>
      </c>
      <c r="E414" s="1" t="s">
        <v>41</v>
      </c>
      <c r="F414" s="1">
        <v>22</v>
      </c>
      <c r="G414" s="1">
        <v>6626</v>
      </c>
      <c r="H414" s="1">
        <v>1390</v>
      </c>
      <c r="I414" s="1">
        <v>5236</v>
      </c>
      <c r="J414" s="1">
        <v>1660</v>
      </c>
      <c r="K414" s="1">
        <v>4.5999999999999996</v>
      </c>
      <c r="L414" s="4">
        <f>Table1[[#This Row],[Net Earnings]]-Table1[[#This Row],[Fuel Cost]]</f>
        <v>3576</v>
      </c>
    </row>
    <row r="415" spans="1:12" ht="14.25" customHeight="1" x14ac:dyDescent="0.25">
      <c r="A415" s="3">
        <v>46268</v>
      </c>
      <c r="B415" s="1" t="s">
        <v>33</v>
      </c>
      <c r="C415" s="1" t="s">
        <v>34</v>
      </c>
      <c r="D415" s="1" t="s">
        <v>13</v>
      </c>
      <c r="E415" s="1" t="s">
        <v>44</v>
      </c>
      <c r="F415" s="1">
        <v>22</v>
      </c>
      <c r="G415" s="1">
        <v>5582</v>
      </c>
      <c r="H415" s="1">
        <v>1000</v>
      </c>
      <c r="I415" s="1">
        <v>4582</v>
      </c>
      <c r="J415" s="1">
        <v>1490</v>
      </c>
      <c r="K415" s="1">
        <v>4.9000000000000004</v>
      </c>
      <c r="L415" s="4">
        <f>Table1[[#This Row],[Net Earnings]]-Table1[[#This Row],[Fuel Cost]]</f>
        <v>3092</v>
      </c>
    </row>
    <row r="416" spans="1:12" ht="14.25" customHeight="1" x14ac:dyDescent="0.25">
      <c r="A416" s="3">
        <v>46269</v>
      </c>
      <c r="B416" s="1" t="s">
        <v>36</v>
      </c>
      <c r="C416" s="1" t="s">
        <v>37</v>
      </c>
      <c r="D416" s="1" t="s">
        <v>20</v>
      </c>
      <c r="E416" s="1" t="s">
        <v>47</v>
      </c>
      <c r="F416" s="1">
        <v>29</v>
      </c>
      <c r="G416" s="1">
        <v>8387</v>
      </c>
      <c r="H416" s="1">
        <v>1590</v>
      </c>
      <c r="I416" s="1">
        <v>6797</v>
      </c>
      <c r="J416" s="1">
        <v>1710</v>
      </c>
      <c r="K416" s="1">
        <v>4.5999999999999996</v>
      </c>
      <c r="L416" s="4">
        <f>Table1[[#This Row],[Net Earnings]]-Table1[[#This Row],[Fuel Cost]]</f>
        <v>5087</v>
      </c>
    </row>
    <row r="417" spans="1:12" ht="14.25" customHeight="1" x14ac:dyDescent="0.25">
      <c r="A417" s="3">
        <v>46270</v>
      </c>
      <c r="B417" s="1" t="s">
        <v>39</v>
      </c>
      <c r="C417" s="1" t="s">
        <v>40</v>
      </c>
      <c r="D417" s="1" t="s">
        <v>14</v>
      </c>
      <c r="E417" s="1" t="s">
        <v>13</v>
      </c>
      <c r="F417" s="1">
        <v>28</v>
      </c>
      <c r="G417" s="1">
        <v>7737</v>
      </c>
      <c r="H417" s="1">
        <v>1550</v>
      </c>
      <c r="I417" s="1">
        <v>6187</v>
      </c>
      <c r="J417" s="1">
        <v>1700</v>
      </c>
      <c r="K417" s="1">
        <v>4.9000000000000004</v>
      </c>
      <c r="L417" s="4">
        <f>Table1[[#This Row],[Net Earnings]]-Table1[[#This Row],[Fuel Cost]]</f>
        <v>4487</v>
      </c>
    </row>
    <row r="418" spans="1:12" ht="14.25" customHeight="1" x14ac:dyDescent="0.25">
      <c r="A418" s="3">
        <v>46271</v>
      </c>
      <c r="B418" s="1" t="s">
        <v>42</v>
      </c>
      <c r="C418" s="1" t="s">
        <v>43</v>
      </c>
      <c r="D418" s="1" t="s">
        <v>20</v>
      </c>
      <c r="E418" s="1" t="s">
        <v>48</v>
      </c>
      <c r="F418" s="1">
        <v>16</v>
      </c>
      <c r="G418" s="1">
        <v>4508</v>
      </c>
      <c r="H418" s="1">
        <v>950</v>
      </c>
      <c r="I418" s="1">
        <v>3558</v>
      </c>
      <c r="J418" s="1">
        <v>1280</v>
      </c>
      <c r="K418" s="1">
        <v>4.8</v>
      </c>
      <c r="L418" s="4">
        <f>Table1[[#This Row],[Net Earnings]]-Table1[[#This Row],[Fuel Cost]]</f>
        <v>2278</v>
      </c>
    </row>
    <row r="419" spans="1:12" ht="14.25" customHeight="1" x14ac:dyDescent="0.25">
      <c r="A419" s="3">
        <v>46272</v>
      </c>
      <c r="B419" s="1" t="s">
        <v>45</v>
      </c>
      <c r="C419" s="1" t="s">
        <v>46</v>
      </c>
      <c r="D419" s="1" t="s">
        <v>13</v>
      </c>
      <c r="E419" s="1" t="s">
        <v>49</v>
      </c>
      <c r="F419" s="1">
        <v>28</v>
      </c>
      <c r="G419" s="1">
        <v>6540</v>
      </c>
      <c r="H419" s="1">
        <v>1370</v>
      </c>
      <c r="I419" s="1">
        <v>5170</v>
      </c>
      <c r="J419" s="1">
        <v>1610</v>
      </c>
      <c r="K419" s="1">
        <v>4.4000000000000004</v>
      </c>
      <c r="L419" s="4">
        <f>Table1[[#This Row],[Net Earnings]]-Table1[[#This Row],[Fuel Cost]]</f>
        <v>3560</v>
      </c>
    </row>
    <row r="420" spans="1:12" ht="14.25" customHeight="1" x14ac:dyDescent="0.25">
      <c r="A420" s="3">
        <v>46273</v>
      </c>
      <c r="B420" s="1" t="s">
        <v>11</v>
      </c>
      <c r="C420" s="1" t="s">
        <v>12</v>
      </c>
      <c r="D420" s="1" t="s">
        <v>14</v>
      </c>
      <c r="E420" s="1" t="s">
        <v>50</v>
      </c>
      <c r="F420" s="1">
        <v>26</v>
      </c>
      <c r="G420" s="1">
        <v>6428</v>
      </c>
      <c r="H420" s="1">
        <v>1160</v>
      </c>
      <c r="I420" s="1">
        <v>5268</v>
      </c>
      <c r="J420" s="1">
        <v>1420</v>
      </c>
      <c r="K420" s="1">
        <v>4.5999999999999996</v>
      </c>
      <c r="L420" s="4">
        <f>Table1[[#This Row],[Net Earnings]]-Table1[[#This Row],[Fuel Cost]]</f>
        <v>3848</v>
      </c>
    </row>
    <row r="421" spans="1:12" ht="14.25" customHeight="1" x14ac:dyDescent="0.25">
      <c r="A421" s="3">
        <v>46274</v>
      </c>
      <c r="B421" s="1" t="s">
        <v>15</v>
      </c>
      <c r="C421" s="1" t="s">
        <v>16</v>
      </c>
      <c r="D421" s="1" t="s">
        <v>13</v>
      </c>
      <c r="E421" s="1" t="s">
        <v>51</v>
      </c>
      <c r="F421" s="1">
        <v>15</v>
      </c>
      <c r="G421" s="1">
        <v>3756</v>
      </c>
      <c r="H421" s="1">
        <v>680</v>
      </c>
      <c r="I421" s="1">
        <v>3076</v>
      </c>
      <c r="J421" s="1">
        <v>1260</v>
      </c>
      <c r="K421" s="1">
        <v>4.8</v>
      </c>
      <c r="L421" s="4">
        <f>Table1[[#This Row],[Net Earnings]]-Table1[[#This Row],[Fuel Cost]]</f>
        <v>1816</v>
      </c>
    </row>
    <row r="422" spans="1:12" ht="14.25" customHeight="1" x14ac:dyDescent="0.25">
      <c r="A422" s="3">
        <v>46255</v>
      </c>
      <c r="B422" s="1" t="s">
        <v>18</v>
      </c>
      <c r="C422" s="1" t="s">
        <v>19</v>
      </c>
      <c r="D422" s="1" t="s">
        <v>13</v>
      </c>
      <c r="E422" s="1" t="s">
        <v>14</v>
      </c>
      <c r="F422" s="1">
        <v>21</v>
      </c>
      <c r="G422" s="1">
        <v>5629</v>
      </c>
      <c r="H422" s="1">
        <v>1010</v>
      </c>
      <c r="I422" s="1">
        <v>4619</v>
      </c>
      <c r="J422" s="1">
        <v>1520</v>
      </c>
      <c r="K422" s="1">
        <v>4.5999999999999996</v>
      </c>
      <c r="L422" s="4">
        <f>Table1[[#This Row],[Net Earnings]]-Table1[[#This Row],[Fuel Cost]]</f>
        <v>3099</v>
      </c>
    </row>
    <row r="423" spans="1:12" ht="14.25" customHeight="1" x14ac:dyDescent="0.25">
      <c r="A423" s="3">
        <v>46256</v>
      </c>
      <c r="B423" s="1" t="s">
        <v>21</v>
      </c>
      <c r="C423" s="1" t="s">
        <v>22</v>
      </c>
      <c r="D423" s="1" t="s">
        <v>13</v>
      </c>
      <c r="E423" s="1" t="s">
        <v>17</v>
      </c>
      <c r="F423" s="1">
        <v>28</v>
      </c>
      <c r="G423" s="1">
        <v>6770</v>
      </c>
      <c r="H423" s="1">
        <v>1420</v>
      </c>
      <c r="I423" s="1">
        <v>5350</v>
      </c>
      <c r="J423" s="1">
        <v>1730</v>
      </c>
      <c r="K423" s="1">
        <v>4.9000000000000004</v>
      </c>
      <c r="L423" s="4">
        <f>Table1[[#This Row],[Net Earnings]]-Table1[[#This Row],[Fuel Cost]]</f>
        <v>3620</v>
      </c>
    </row>
    <row r="424" spans="1:12" ht="14.25" customHeight="1" x14ac:dyDescent="0.25">
      <c r="A424" s="3">
        <v>46257</v>
      </c>
      <c r="B424" s="1" t="s">
        <v>24</v>
      </c>
      <c r="C424" s="1" t="s">
        <v>25</v>
      </c>
      <c r="D424" s="1" t="s">
        <v>20</v>
      </c>
      <c r="E424" s="1" t="s">
        <v>13</v>
      </c>
      <c r="F424" s="1">
        <v>29</v>
      </c>
      <c r="G424" s="1">
        <v>7521</v>
      </c>
      <c r="H424" s="1">
        <v>1580</v>
      </c>
      <c r="I424" s="1">
        <v>5941</v>
      </c>
      <c r="J424" s="1">
        <v>1800</v>
      </c>
      <c r="K424" s="1">
        <v>4.9000000000000004</v>
      </c>
      <c r="L424" s="4">
        <f>Table1[[#This Row],[Net Earnings]]-Table1[[#This Row],[Fuel Cost]]</f>
        <v>4141</v>
      </c>
    </row>
    <row r="425" spans="1:12" ht="14.25" customHeight="1" x14ac:dyDescent="0.25">
      <c r="A425" s="3">
        <v>46258</v>
      </c>
      <c r="B425" s="1" t="s">
        <v>27</v>
      </c>
      <c r="C425" s="1" t="s">
        <v>28</v>
      </c>
      <c r="D425" s="1" t="s">
        <v>20</v>
      </c>
      <c r="E425" s="1" t="s">
        <v>23</v>
      </c>
      <c r="F425" s="1">
        <v>22</v>
      </c>
      <c r="G425" s="1">
        <v>6448</v>
      </c>
      <c r="H425" s="1">
        <v>1350</v>
      </c>
      <c r="I425" s="1">
        <v>5098</v>
      </c>
      <c r="J425" s="1">
        <v>1590</v>
      </c>
      <c r="K425" s="1">
        <v>4.5999999999999996</v>
      </c>
      <c r="L425" s="4">
        <f>Table1[[#This Row],[Net Earnings]]-Table1[[#This Row],[Fuel Cost]]</f>
        <v>3508</v>
      </c>
    </row>
    <row r="426" spans="1:12" ht="14.25" customHeight="1" x14ac:dyDescent="0.25">
      <c r="A426" s="3">
        <v>46259</v>
      </c>
      <c r="B426" s="1" t="s">
        <v>30</v>
      </c>
      <c r="C426" s="1" t="s">
        <v>31</v>
      </c>
      <c r="D426" s="1" t="s">
        <v>20</v>
      </c>
      <c r="E426" s="1" t="s">
        <v>26</v>
      </c>
      <c r="F426" s="1">
        <v>19</v>
      </c>
      <c r="G426" s="1">
        <v>5074</v>
      </c>
      <c r="H426" s="1">
        <v>910</v>
      </c>
      <c r="I426" s="1">
        <v>4164</v>
      </c>
      <c r="J426" s="1">
        <v>1350</v>
      </c>
      <c r="K426" s="1">
        <v>4.3</v>
      </c>
      <c r="L426" s="4">
        <f>Table1[[#This Row],[Net Earnings]]-Table1[[#This Row],[Fuel Cost]]</f>
        <v>2814</v>
      </c>
    </row>
    <row r="427" spans="1:12" ht="14.25" customHeight="1" x14ac:dyDescent="0.25">
      <c r="A427" s="3">
        <v>46260</v>
      </c>
      <c r="B427" s="1" t="s">
        <v>33</v>
      </c>
      <c r="C427" s="1" t="s">
        <v>34</v>
      </c>
      <c r="D427" s="1" t="s">
        <v>20</v>
      </c>
      <c r="E427" s="1" t="s">
        <v>29</v>
      </c>
      <c r="F427" s="1">
        <v>24</v>
      </c>
      <c r="G427" s="1">
        <v>6373</v>
      </c>
      <c r="H427" s="1">
        <v>1150</v>
      </c>
      <c r="I427" s="1">
        <v>5223</v>
      </c>
      <c r="J427" s="1">
        <v>1660</v>
      </c>
      <c r="K427" s="1">
        <v>4.5</v>
      </c>
      <c r="L427" s="4">
        <f>Table1[[#This Row],[Net Earnings]]-Table1[[#This Row],[Fuel Cost]]</f>
        <v>3563</v>
      </c>
    </row>
    <row r="428" spans="1:12" ht="14.25" customHeight="1" x14ac:dyDescent="0.25">
      <c r="A428" s="3">
        <v>46261</v>
      </c>
      <c r="B428" s="1" t="s">
        <v>36</v>
      </c>
      <c r="C428" s="1" t="s">
        <v>37</v>
      </c>
      <c r="D428" s="1" t="s">
        <v>14</v>
      </c>
      <c r="E428" s="1" t="s">
        <v>32</v>
      </c>
      <c r="F428" s="1">
        <v>22</v>
      </c>
      <c r="G428" s="1">
        <v>6250</v>
      </c>
      <c r="H428" s="1">
        <v>1120</v>
      </c>
      <c r="I428" s="1">
        <v>5130</v>
      </c>
      <c r="J428" s="1">
        <v>1560</v>
      </c>
      <c r="K428" s="1">
        <v>4.5999999999999996</v>
      </c>
      <c r="L428" s="4">
        <f>Table1[[#This Row],[Net Earnings]]-Table1[[#This Row],[Fuel Cost]]</f>
        <v>3570</v>
      </c>
    </row>
    <row r="429" spans="1:12" ht="14.25" customHeight="1" x14ac:dyDescent="0.25">
      <c r="A429" s="3">
        <v>46262</v>
      </c>
      <c r="B429" s="1" t="s">
        <v>39</v>
      </c>
      <c r="C429" s="1" t="s">
        <v>40</v>
      </c>
      <c r="D429" s="1" t="s">
        <v>35</v>
      </c>
      <c r="E429" s="1" t="s">
        <v>20</v>
      </c>
      <c r="F429" s="1">
        <v>18</v>
      </c>
      <c r="G429" s="1">
        <v>4377</v>
      </c>
      <c r="H429" s="1">
        <v>920</v>
      </c>
      <c r="I429" s="1">
        <v>3457</v>
      </c>
      <c r="J429" s="1">
        <v>1440</v>
      </c>
      <c r="K429" s="1">
        <v>4.5999999999999996</v>
      </c>
      <c r="L429" s="4">
        <f>Table1[[#This Row],[Net Earnings]]-Table1[[#This Row],[Fuel Cost]]</f>
        <v>2017</v>
      </c>
    </row>
    <row r="430" spans="1:12" ht="14.25" customHeight="1" x14ac:dyDescent="0.25">
      <c r="A430" s="3">
        <v>46263</v>
      </c>
      <c r="B430" s="1" t="s">
        <v>42</v>
      </c>
      <c r="C430" s="1" t="s">
        <v>43</v>
      </c>
      <c r="D430" s="1" t="s">
        <v>13</v>
      </c>
      <c r="E430" s="1" t="s">
        <v>38</v>
      </c>
      <c r="F430" s="1">
        <v>20</v>
      </c>
      <c r="G430" s="1">
        <v>4744</v>
      </c>
      <c r="H430" s="1">
        <v>850</v>
      </c>
      <c r="I430" s="1">
        <v>3894</v>
      </c>
      <c r="J430" s="1">
        <v>1340</v>
      </c>
      <c r="K430" s="1">
        <v>4.3</v>
      </c>
      <c r="L430" s="4">
        <f>Table1[[#This Row],[Net Earnings]]-Table1[[#This Row],[Fuel Cost]]</f>
        <v>2554</v>
      </c>
    </row>
    <row r="431" spans="1:12" ht="14.25" customHeight="1" x14ac:dyDescent="0.25">
      <c r="A431" s="3">
        <v>46264</v>
      </c>
      <c r="B431" s="1" t="s">
        <v>45</v>
      </c>
      <c r="C431" s="1" t="s">
        <v>46</v>
      </c>
      <c r="D431" s="1" t="s">
        <v>14</v>
      </c>
      <c r="E431" s="1" t="s">
        <v>41</v>
      </c>
      <c r="F431" s="1">
        <v>14</v>
      </c>
      <c r="G431" s="1">
        <v>3924</v>
      </c>
      <c r="H431" s="1">
        <v>820</v>
      </c>
      <c r="I431" s="1">
        <v>3104</v>
      </c>
      <c r="J431" s="1">
        <v>1240</v>
      </c>
      <c r="K431" s="1">
        <v>4.4000000000000004</v>
      </c>
      <c r="L431" s="4">
        <f>Table1[[#This Row],[Net Earnings]]-Table1[[#This Row],[Fuel Cost]]</f>
        <v>1864</v>
      </c>
    </row>
    <row r="432" spans="1:12" ht="14.25" customHeight="1" x14ac:dyDescent="0.25">
      <c r="A432" s="3">
        <v>46265</v>
      </c>
      <c r="B432" s="1" t="s">
        <v>11</v>
      </c>
      <c r="C432" s="1" t="s">
        <v>12</v>
      </c>
      <c r="D432" s="1" t="s">
        <v>13</v>
      </c>
      <c r="E432" s="1" t="s">
        <v>44</v>
      </c>
      <c r="F432" s="1">
        <v>29</v>
      </c>
      <c r="G432" s="1">
        <v>7258</v>
      </c>
      <c r="H432" s="1">
        <v>1380</v>
      </c>
      <c r="I432" s="1">
        <v>5878</v>
      </c>
      <c r="J432" s="1">
        <v>1810</v>
      </c>
      <c r="K432" s="1">
        <v>4.5</v>
      </c>
      <c r="L432" s="4">
        <f>Table1[[#This Row],[Net Earnings]]-Table1[[#This Row],[Fuel Cost]]</f>
        <v>4068</v>
      </c>
    </row>
    <row r="433" spans="1:12" ht="14.25" customHeight="1" x14ac:dyDescent="0.25">
      <c r="A433" s="3">
        <v>46266</v>
      </c>
      <c r="B433" s="1" t="s">
        <v>15</v>
      </c>
      <c r="C433" s="1" t="s">
        <v>16</v>
      </c>
      <c r="D433" s="1" t="s">
        <v>20</v>
      </c>
      <c r="E433" s="1" t="s">
        <v>47</v>
      </c>
      <c r="F433" s="1">
        <v>26</v>
      </c>
      <c r="G433" s="1">
        <v>7710</v>
      </c>
      <c r="H433" s="1">
        <v>1390</v>
      </c>
      <c r="I433" s="1">
        <v>6320</v>
      </c>
      <c r="J433" s="1">
        <v>1630</v>
      </c>
      <c r="K433" s="1">
        <v>4.4000000000000004</v>
      </c>
      <c r="L433" s="4">
        <f>Table1[[#This Row],[Net Earnings]]-Table1[[#This Row],[Fuel Cost]]</f>
        <v>4690</v>
      </c>
    </row>
    <row r="434" spans="1:12" ht="14.25" customHeight="1" x14ac:dyDescent="0.25">
      <c r="A434" s="3">
        <v>46267</v>
      </c>
      <c r="B434" s="1" t="s">
        <v>18</v>
      </c>
      <c r="C434" s="1" t="s">
        <v>19</v>
      </c>
      <c r="D434" s="1" t="s">
        <v>14</v>
      </c>
      <c r="E434" s="1" t="s">
        <v>13</v>
      </c>
      <c r="F434" s="1">
        <v>18</v>
      </c>
      <c r="G434" s="1">
        <v>4761</v>
      </c>
      <c r="H434" s="1">
        <v>1000</v>
      </c>
      <c r="I434" s="1">
        <v>3761</v>
      </c>
      <c r="J434" s="1">
        <v>1510</v>
      </c>
      <c r="K434" s="1">
        <v>4.5</v>
      </c>
      <c r="L434" s="4">
        <f>Table1[[#This Row],[Net Earnings]]-Table1[[#This Row],[Fuel Cost]]</f>
        <v>2251</v>
      </c>
    </row>
    <row r="435" spans="1:12" ht="14.25" customHeight="1" x14ac:dyDescent="0.25">
      <c r="A435" s="3">
        <v>46268</v>
      </c>
      <c r="B435" s="1" t="s">
        <v>21</v>
      </c>
      <c r="C435" s="1" t="s">
        <v>22</v>
      </c>
      <c r="D435" s="1" t="s">
        <v>20</v>
      </c>
      <c r="E435" s="1" t="s">
        <v>48</v>
      </c>
      <c r="F435" s="1">
        <v>18</v>
      </c>
      <c r="G435" s="1">
        <v>4914</v>
      </c>
      <c r="H435" s="1">
        <v>1030</v>
      </c>
      <c r="I435" s="1">
        <v>3884</v>
      </c>
      <c r="J435" s="1">
        <v>1340</v>
      </c>
      <c r="K435" s="1">
        <v>4.8</v>
      </c>
      <c r="L435" s="4">
        <f>Table1[[#This Row],[Net Earnings]]-Table1[[#This Row],[Fuel Cost]]</f>
        <v>2544</v>
      </c>
    </row>
    <row r="436" spans="1:12" ht="14.25" customHeight="1" x14ac:dyDescent="0.25">
      <c r="A436" s="3">
        <v>46269</v>
      </c>
      <c r="B436" s="1" t="s">
        <v>24</v>
      </c>
      <c r="C436" s="1" t="s">
        <v>25</v>
      </c>
      <c r="D436" s="1" t="s">
        <v>13</v>
      </c>
      <c r="E436" s="1" t="s">
        <v>49</v>
      </c>
      <c r="F436" s="1">
        <v>21</v>
      </c>
      <c r="G436" s="1">
        <v>4966</v>
      </c>
      <c r="H436" s="1">
        <v>940</v>
      </c>
      <c r="I436" s="1">
        <v>4026</v>
      </c>
      <c r="J436" s="1">
        <v>1290</v>
      </c>
      <c r="K436" s="1">
        <v>4.8</v>
      </c>
      <c r="L436" s="4">
        <f>Table1[[#This Row],[Net Earnings]]-Table1[[#This Row],[Fuel Cost]]</f>
        <v>2736</v>
      </c>
    </row>
    <row r="437" spans="1:12" ht="14.25" customHeight="1" x14ac:dyDescent="0.25">
      <c r="A437" s="3">
        <v>46270</v>
      </c>
      <c r="B437" s="1" t="s">
        <v>27</v>
      </c>
      <c r="C437" s="1" t="s">
        <v>28</v>
      </c>
      <c r="D437" s="1" t="s">
        <v>14</v>
      </c>
      <c r="E437" s="1" t="s">
        <v>50</v>
      </c>
      <c r="F437" s="1">
        <v>23</v>
      </c>
      <c r="G437" s="1">
        <v>6344</v>
      </c>
      <c r="H437" s="1">
        <v>1140</v>
      </c>
      <c r="I437" s="1">
        <v>5204</v>
      </c>
      <c r="J437" s="1">
        <v>1470</v>
      </c>
      <c r="K437" s="1">
        <v>4.5</v>
      </c>
      <c r="L437" s="4">
        <f>Table1[[#This Row],[Net Earnings]]-Table1[[#This Row],[Fuel Cost]]</f>
        <v>3734</v>
      </c>
    </row>
    <row r="438" spans="1:12" ht="14.25" customHeight="1" x14ac:dyDescent="0.25">
      <c r="A438" s="3">
        <v>46271</v>
      </c>
      <c r="B438" s="1" t="s">
        <v>30</v>
      </c>
      <c r="C438" s="1" t="s">
        <v>31</v>
      </c>
      <c r="D438" s="1" t="s">
        <v>13</v>
      </c>
      <c r="E438" s="1" t="s">
        <v>51</v>
      </c>
      <c r="F438" s="1">
        <v>19</v>
      </c>
      <c r="G438" s="1">
        <v>4564</v>
      </c>
      <c r="H438" s="1">
        <v>1000</v>
      </c>
      <c r="I438" s="1">
        <v>3564</v>
      </c>
      <c r="J438" s="1">
        <v>1590</v>
      </c>
      <c r="K438" s="1">
        <v>4.7</v>
      </c>
      <c r="L438" s="4">
        <f>Table1[[#This Row],[Net Earnings]]-Table1[[#This Row],[Fuel Cost]]</f>
        <v>1974</v>
      </c>
    </row>
    <row r="439" spans="1:12" ht="14.25" customHeight="1" x14ac:dyDescent="0.25">
      <c r="A439" s="3">
        <v>46272</v>
      </c>
      <c r="B439" s="1" t="s">
        <v>33</v>
      </c>
      <c r="C439" s="1" t="s">
        <v>34</v>
      </c>
      <c r="D439" s="1" t="s">
        <v>13</v>
      </c>
      <c r="E439" s="1" t="s">
        <v>14</v>
      </c>
      <c r="F439" s="1">
        <v>22</v>
      </c>
      <c r="G439" s="1">
        <v>5645</v>
      </c>
      <c r="H439" s="1">
        <v>1020</v>
      </c>
      <c r="I439" s="1">
        <v>4625</v>
      </c>
      <c r="J439" s="1">
        <v>1620</v>
      </c>
      <c r="K439" s="1">
        <v>4.4000000000000004</v>
      </c>
      <c r="L439" s="4">
        <f>Table1[[#This Row],[Net Earnings]]-Table1[[#This Row],[Fuel Cost]]</f>
        <v>3005</v>
      </c>
    </row>
    <row r="440" spans="1:12" ht="14.25" customHeight="1" x14ac:dyDescent="0.25">
      <c r="A440" s="3">
        <v>46273</v>
      </c>
      <c r="B440" s="1" t="s">
        <v>36</v>
      </c>
      <c r="C440" s="1" t="s">
        <v>37</v>
      </c>
      <c r="D440" s="1" t="s">
        <v>13</v>
      </c>
      <c r="E440" s="1" t="s">
        <v>17</v>
      </c>
      <c r="F440" s="1">
        <v>26</v>
      </c>
      <c r="G440" s="1">
        <v>6330</v>
      </c>
      <c r="H440" s="1">
        <v>1140</v>
      </c>
      <c r="I440" s="1">
        <v>5190</v>
      </c>
      <c r="J440" s="1">
        <v>1800</v>
      </c>
      <c r="K440" s="1">
        <v>4.7</v>
      </c>
      <c r="L440" s="4">
        <f>Table1[[#This Row],[Net Earnings]]-Table1[[#This Row],[Fuel Cost]]</f>
        <v>3390</v>
      </c>
    </row>
    <row r="441" spans="1:12" ht="14.25" customHeight="1" x14ac:dyDescent="0.25">
      <c r="A441" s="3">
        <v>46274</v>
      </c>
      <c r="B441" s="1" t="s">
        <v>39</v>
      </c>
      <c r="C441" s="1" t="s">
        <v>40</v>
      </c>
      <c r="D441" s="1" t="s">
        <v>20</v>
      </c>
      <c r="E441" s="1" t="s">
        <v>13</v>
      </c>
      <c r="F441" s="1">
        <v>18</v>
      </c>
      <c r="G441" s="1">
        <v>4423</v>
      </c>
      <c r="H441" s="1">
        <v>880</v>
      </c>
      <c r="I441" s="1">
        <v>3543</v>
      </c>
      <c r="J441" s="1">
        <v>1410</v>
      </c>
      <c r="K441" s="1">
        <v>4.8</v>
      </c>
      <c r="L441" s="4">
        <f>Table1[[#This Row],[Net Earnings]]-Table1[[#This Row],[Fuel Cost]]</f>
        <v>2133</v>
      </c>
    </row>
    <row r="442" spans="1:12" ht="14.25" customHeight="1" x14ac:dyDescent="0.25">
      <c r="A442" s="3">
        <v>46255</v>
      </c>
      <c r="B442" s="1" t="s">
        <v>42</v>
      </c>
      <c r="C442" s="1" t="s">
        <v>43</v>
      </c>
      <c r="D442" s="1" t="s">
        <v>20</v>
      </c>
      <c r="E442" s="1" t="s">
        <v>23</v>
      </c>
      <c r="F442" s="1">
        <v>22</v>
      </c>
      <c r="G442" s="1">
        <v>5792</v>
      </c>
      <c r="H442" s="1">
        <v>1160</v>
      </c>
      <c r="I442" s="1">
        <v>4632</v>
      </c>
      <c r="J442" s="1">
        <v>1400</v>
      </c>
      <c r="K442" s="1">
        <v>4.3</v>
      </c>
      <c r="L442" s="4">
        <f>Table1[[#This Row],[Net Earnings]]-Table1[[#This Row],[Fuel Cost]]</f>
        <v>3232</v>
      </c>
    </row>
    <row r="443" spans="1:12" ht="14.25" customHeight="1" x14ac:dyDescent="0.25">
      <c r="A443" s="3">
        <v>46256</v>
      </c>
      <c r="B443" s="1" t="s">
        <v>45</v>
      </c>
      <c r="C443" s="1" t="s">
        <v>46</v>
      </c>
      <c r="D443" s="1" t="s">
        <v>20</v>
      </c>
      <c r="E443" s="1" t="s">
        <v>26</v>
      </c>
      <c r="F443" s="1">
        <v>21</v>
      </c>
      <c r="G443" s="1">
        <v>5725</v>
      </c>
      <c r="H443" s="1">
        <v>1030</v>
      </c>
      <c r="I443" s="1">
        <v>4695</v>
      </c>
      <c r="J443" s="1">
        <v>1350</v>
      </c>
      <c r="K443" s="1">
        <v>4.3</v>
      </c>
      <c r="L443" s="4">
        <f>Table1[[#This Row],[Net Earnings]]-Table1[[#This Row],[Fuel Cost]]</f>
        <v>3345</v>
      </c>
    </row>
    <row r="444" spans="1:12" ht="14.25" customHeight="1" x14ac:dyDescent="0.25">
      <c r="A444" s="3">
        <v>46257</v>
      </c>
      <c r="B444" s="1" t="s">
        <v>11</v>
      </c>
      <c r="C444" s="1" t="s">
        <v>12</v>
      </c>
      <c r="D444" s="1" t="s">
        <v>20</v>
      </c>
      <c r="E444" s="1" t="s">
        <v>29</v>
      </c>
      <c r="F444" s="1">
        <v>16</v>
      </c>
      <c r="G444" s="1">
        <v>3851</v>
      </c>
      <c r="H444" s="1">
        <v>770</v>
      </c>
      <c r="I444" s="1">
        <v>3081</v>
      </c>
      <c r="J444" s="1">
        <v>1440</v>
      </c>
      <c r="K444" s="1">
        <v>4.7</v>
      </c>
      <c r="L444" s="4">
        <f>Table1[[#This Row],[Net Earnings]]-Table1[[#This Row],[Fuel Cost]]</f>
        <v>1641</v>
      </c>
    </row>
    <row r="445" spans="1:12" ht="14.25" customHeight="1" x14ac:dyDescent="0.25">
      <c r="A445" s="3">
        <v>46258</v>
      </c>
      <c r="B445" s="1" t="s">
        <v>15</v>
      </c>
      <c r="C445" s="1" t="s">
        <v>16</v>
      </c>
      <c r="D445" s="1" t="s">
        <v>14</v>
      </c>
      <c r="E445" s="1" t="s">
        <v>32</v>
      </c>
      <c r="F445" s="1">
        <v>14</v>
      </c>
      <c r="G445" s="1">
        <v>3905</v>
      </c>
      <c r="H445" s="1">
        <v>860</v>
      </c>
      <c r="I445" s="1">
        <v>3045</v>
      </c>
      <c r="J445" s="1">
        <v>1280</v>
      </c>
      <c r="K445" s="1">
        <v>4.5999999999999996</v>
      </c>
      <c r="L445" s="4">
        <f>Table1[[#This Row],[Net Earnings]]-Table1[[#This Row],[Fuel Cost]]</f>
        <v>1765</v>
      </c>
    </row>
    <row r="446" spans="1:12" ht="14.25" customHeight="1" x14ac:dyDescent="0.25">
      <c r="A446" s="3">
        <v>46259</v>
      </c>
      <c r="B446" s="1" t="s">
        <v>18</v>
      </c>
      <c r="C446" s="1" t="s">
        <v>19</v>
      </c>
      <c r="D446" s="1" t="s">
        <v>35</v>
      </c>
      <c r="E446" s="1" t="s">
        <v>20</v>
      </c>
      <c r="F446" s="1">
        <v>16</v>
      </c>
      <c r="G446" s="1">
        <v>4488</v>
      </c>
      <c r="H446" s="1">
        <v>900</v>
      </c>
      <c r="I446" s="1">
        <v>3588</v>
      </c>
      <c r="J446" s="1">
        <v>1310</v>
      </c>
      <c r="K446" s="1">
        <v>4.9000000000000004</v>
      </c>
      <c r="L446" s="4">
        <f>Table1[[#This Row],[Net Earnings]]-Table1[[#This Row],[Fuel Cost]]</f>
        <v>2278</v>
      </c>
    </row>
    <row r="447" spans="1:12" ht="14.25" customHeight="1" x14ac:dyDescent="0.25">
      <c r="A447" s="3">
        <v>46260</v>
      </c>
      <c r="B447" s="1" t="s">
        <v>21</v>
      </c>
      <c r="C447" s="1" t="s">
        <v>22</v>
      </c>
      <c r="D447" s="1" t="s">
        <v>13</v>
      </c>
      <c r="E447" s="1" t="s">
        <v>38</v>
      </c>
      <c r="F447" s="1">
        <v>24</v>
      </c>
      <c r="G447" s="1">
        <v>5671</v>
      </c>
      <c r="H447" s="1">
        <v>1020</v>
      </c>
      <c r="I447" s="1">
        <v>4651</v>
      </c>
      <c r="J447" s="1">
        <v>1520</v>
      </c>
      <c r="K447" s="1">
        <v>4.5</v>
      </c>
      <c r="L447" s="4">
        <f>Table1[[#This Row],[Net Earnings]]-Table1[[#This Row],[Fuel Cost]]</f>
        <v>3131</v>
      </c>
    </row>
    <row r="448" spans="1:12" ht="14.25" customHeight="1" x14ac:dyDescent="0.25">
      <c r="A448" s="3">
        <v>46261</v>
      </c>
      <c r="B448" s="1" t="s">
        <v>24</v>
      </c>
      <c r="C448" s="1" t="s">
        <v>25</v>
      </c>
      <c r="D448" s="1" t="s">
        <v>14</v>
      </c>
      <c r="E448" s="1" t="s">
        <v>41</v>
      </c>
      <c r="F448" s="1">
        <v>16</v>
      </c>
      <c r="G448" s="1">
        <v>4301</v>
      </c>
      <c r="H448" s="1">
        <v>860</v>
      </c>
      <c r="I448" s="1">
        <v>3441</v>
      </c>
      <c r="J448" s="1">
        <v>1280</v>
      </c>
      <c r="K448" s="1">
        <v>4.5999999999999996</v>
      </c>
      <c r="L448" s="4">
        <f>Table1[[#This Row],[Net Earnings]]-Table1[[#This Row],[Fuel Cost]]</f>
        <v>2161</v>
      </c>
    </row>
    <row r="449" spans="1:12" ht="14.25" customHeight="1" x14ac:dyDescent="0.25">
      <c r="A449" s="3">
        <v>46262</v>
      </c>
      <c r="B449" s="1" t="s">
        <v>27</v>
      </c>
      <c r="C449" s="1" t="s">
        <v>28</v>
      </c>
      <c r="D449" s="1" t="s">
        <v>13</v>
      </c>
      <c r="E449" s="1" t="s">
        <v>44</v>
      </c>
      <c r="F449" s="1">
        <v>23</v>
      </c>
      <c r="G449" s="1">
        <v>5658</v>
      </c>
      <c r="H449" s="1">
        <v>1020</v>
      </c>
      <c r="I449" s="1">
        <v>4638</v>
      </c>
      <c r="J449" s="1">
        <v>1520</v>
      </c>
      <c r="K449" s="1">
        <v>4.4000000000000004</v>
      </c>
      <c r="L449" s="4">
        <f>Table1[[#This Row],[Net Earnings]]-Table1[[#This Row],[Fuel Cost]]</f>
        <v>3118</v>
      </c>
    </row>
    <row r="450" spans="1:12" ht="14.25" customHeight="1" x14ac:dyDescent="0.25">
      <c r="A450" s="3">
        <v>46263</v>
      </c>
      <c r="B450" s="1" t="s">
        <v>30</v>
      </c>
      <c r="C450" s="1" t="s">
        <v>31</v>
      </c>
      <c r="D450" s="1" t="s">
        <v>20</v>
      </c>
      <c r="E450" s="1" t="s">
        <v>47</v>
      </c>
      <c r="F450" s="1">
        <v>14</v>
      </c>
      <c r="G450" s="1">
        <v>3435</v>
      </c>
      <c r="H450" s="1">
        <v>760</v>
      </c>
      <c r="I450" s="1">
        <v>2675</v>
      </c>
      <c r="J450" s="1">
        <v>1300</v>
      </c>
      <c r="K450" s="1">
        <v>4.3</v>
      </c>
      <c r="L450" s="4">
        <f>Table1[[#This Row],[Net Earnings]]-Table1[[#This Row],[Fuel Cost]]</f>
        <v>1375</v>
      </c>
    </row>
    <row r="451" spans="1:12" ht="14.25" customHeight="1" x14ac:dyDescent="0.25">
      <c r="A451" s="3">
        <v>46264</v>
      </c>
      <c r="B451" s="1" t="s">
        <v>33</v>
      </c>
      <c r="C451" s="1" t="s">
        <v>34</v>
      </c>
      <c r="D451" s="1" t="s">
        <v>14</v>
      </c>
      <c r="E451" s="1" t="s">
        <v>13</v>
      </c>
      <c r="F451" s="1">
        <v>17</v>
      </c>
      <c r="G451" s="1">
        <v>4682</v>
      </c>
      <c r="H451" s="1">
        <v>980</v>
      </c>
      <c r="I451" s="1">
        <v>3702</v>
      </c>
      <c r="J451" s="1">
        <v>1320</v>
      </c>
      <c r="K451" s="1">
        <v>4.8</v>
      </c>
      <c r="L451" s="4">
        <f>Table1[[#This Row],[Net Earnings]]-Table1[[#This Row],[Fuel Cost]]</f>
        <v>2382</v>
      </c>
    </row>
    <row r="452" spans="1:12" ht="14.25" customHeight="1" x14ac:dyDescent="0.25">
      <c r="A452" s="3">
        <v>46265</v>
      </c>
      <c r="B452" s="1" t="s">
        <v>36</v>
      </c>
      <c r="C452" s="1" t="s">
        <v>37</v>
      </c>
      <c r="D452" s="1" t="s">
        <v>20</v>
      </c>
      <c r="E452" s="1" t="s">
        <v>48</v>
      </c>
      <c r="F452" s="1">
        <v>20</v>
      </c>
      <c r="G452" s="1">
        <v>4793</v>
      </c>
      <c r="H452" s="1">
        <v>1050</v>
      </c>
      <c r="I452" s="1">
        <v>3743</v>
      </c>
      <c r="J452" s="1">
        <v>1380</v>
      </c>
      <c r="K452" s="1">
        <v>4.7</v>
      </c>
      <c r="L452" s="4">
        <f>Table1[[#This Row],[Net Earnings]]-Table1[[#This Row],[Fuel Cost]]</f>
        <v>2363</v>
      </c>
    </row>
    <row r="453" spans="1:12" ht="14.25" customHeight="1" x14ac:dyDescent="0.25">
      <c r="A453" s="3">
        <v>46266</v>
      </c>
      <c r="B453" s="1" t="s">
        <v>39</v>
      </c>
      <c r="C453" s="1" t="s">
        <v>40</v>
      </c>
      <c r="D453" s="1" t="s">
        <v>13</v>
      </c>
      <c r="E453" s="1" t="s">
        <v>49</v>
      </c>
      <c r="F453" s="1">
        <v>25</v>
      </c>
      <c r="G453" s="1">
        <v>6380</v>
      </c>
      <c r="H453" s="1">
        <v>1210</v>
      </c>
      <c r="I453" s="1">
        <v>5170</v>
      </c>
      <c r="J453" s="1">
        <v>1370</v>
      </c>
      <c r="K453" s="1">
        <v>4.5</v>
      </c>
      <c r="L453" s="4">
        <f>Table1[[#This Row],[Net Earnings]]-Table1[[#This Row],[Fuel Cost]]</f>
        <v>3800</v>
      </c>
    </row>
    <row r="454" spans="1:12" ht="14.25" customHeight="1" x14ac:dyDescent="0.25">
      <c r="A454" s="3">
        <v>46267</v>
      </c>
      <c r="B454" s="1" t="s">
        <v>42</v>
      </c>
      <c r="C454" s="1" t="s">
        <v>43</v>
      </c>
      <c r="D454" s="1" t="s">
        <v>14</v>
      </c>
      <c r="E454" s="1" t="s">
        <v>50</v>
      </c>
      <c r="F454" s="1">
        <v>28</v>
      </c>
      <c r="G454" s="1">
        <v>7799</v>
      </c>
      <c r="H454" s="1">
        <v>1560</v>
      </c>
      <c r="I454" s="1">
        <v>6239</v>
      </c>
      <c r="J454" s="1">
        <v>1660</v>
      </c>
      <c r="K454" s="1">
        <v>4.7</v>
      </c>
      <c r="L454" s="4">
        <f>Table1[[#This Row],[Net Earnings]]-Table1[[#This Row],[Fuel Cost]]</f>
        <v>4579</v>
      </c>
    </row>
    <row r="455" spans="1:12" ht="14.25" customHeight="1" x14ac:dyDescent="0.25">
      <c r="A455" s="3">
        <v>46268</v>
      </c>
      <c r="B455" s="1" t="s">
        <v>45</v>
      </c>
      <c r="C455" s="1" t="s">
        <v>46</v>
      </c>
      <c r="D455" s="1" t="s">
        <v>13</v>
      </c>
      <c r="E455" s="1" t="s">
        <v>51</v>
      </c>
      <c r="F455" s="1">
        <v>18</v>
      </c>
      <c r="G455" s="1">
        <v>5209</v>
      </c>
      <c r="H455" s="1">
        <v>1150</v>
      </c>
      <c r="I455" s="1">
        <v>4059</v>
      </c>
      <c r="J455" s="1">
        <v>1490</v>
      </c>
      <c r="K455" s="1">
        <v>4.5</v>
      </c>
      <c r="L455" s="4">
        <f>Table1[[#This Row],[Net Earnings]]-Table1[[#This Row],[Fuel Cost]]</f>
        <v>2569</v>
      </c>
    </row>
    <row r="456" spans="1:12" ht="14.25" customHeight="1" x14ac:dyDescent="0.25">
      <c r="A456" s="3">
        <v>46269</v>
      </c>
      <c r="B456" s="1" t="s">
        <v>11</v>
      </c>
      <c r="C456" s="1" t="s">
        <v>12</v>
      </c>
      <c r="D456" s="1" t="s">
        <v>13</v>
      </c>
      <c r="E456" s="1" t="s">
        <v>14</v>
      </c>
      <c r="F456" s="1">
        <v>29</v>
      </c>
      <c r="G456" s="1">
        <v>7593</v>
      </c>
      <c r="H456" s="1">
        <v>1370</v>
      </c>
      <c r="I456" s="1">
        <v>6223</v>
      </c>
      <c r="J456" s="1">
        <v>1830</v>
      </c>
      <c r="K456" s="1">
        <v>4.5999999999999996</v>
      </c>
      <c r="L456" s="4">
        <f>Table1[[#This Row],[Net Earnings]]-Table1[[#This Row],[Fuel Cost]]</f>
        <v>4393</v>
      </c>
    </row>
    <row r="457" spans="1:12" ht="14.25" customHeight="1" x14ac:dyDescent="0.25">
      <c r="A457" s="3">
        <v>46270</v>
      </c>
      <c r="B457" s="1" t="s">
        <v>15</v>
      </c>
      <c r="C457" s="1" t="s">
        <v>16</v>
      </c>
      <c r="D457" s="1" t="s">
        <v>13</v>
      </c>
      <c r="E457" s="1" t="s">
        <v>17</v>
      </c>
      <c r="F457" s="1">
        <v>20</v>
      </c>
      <c r="G457" s="1">
        <v>5757</v>
      </c>
      <c r="H457" s="1">
        <v>1210</v>
      </c>
      <c r="I457" s="1">
        <v>4547</v>
      </c>
      <c r="J457" s="1">
        <v>1550</v>
      </c>
      <c r="K457" s="1">
        <v>4.9000000000000004</v>
      </c>
      <c r="L457" s="4">
        <f>Table1[[#This Row],[Net Earnings]]-Table1[[#This Row],[Fuel Cost]]</f>
        <v>2997</v>
      </c>
    </row>
    <row r="458" spans="1:12" ht="14.25" customHeight="1" x14ac:dyDescent="0.25">
      <c r="A458" s="3">
        <v>46271</v>
      </c>
      <c r="B458" s="1" t="s">
        <v>18</v>
      </c>
      <c r="C458" s="1" t="s">
        <v>19</v>
      </c>
      <c r="D458" s="1" t="s">
        <v>20</v>
      </c>
      <c r="E458" s="1" t="s">
        <v>13</v>
      </c>
      <c r="F458" s="1">
        <v>20</v>
      </c>
      <c r="G458" s="1">
        <v>5255</v>
      </c>
      <c r="H458" s="1">
        <v>1000</v>
      </c>
      <c r="I458" s="1">
        <v>4255</v>
      </c>
      <c r="J458" s="1">
        <v>1430</v>
      </c>
      <c r="K458" s="1">
        <v>4.5999999999999996</v>
      </c>
      <c r="L458" s="4">
        <f>Table1[[#This Row],[Net Earnings]]-Table1[[#This Row],[Fuel Cost]]</f>
        <v>2825</v>
      </c>
    </row>
    <row r="459" spans="1:12" ht="14.25" customHeight="1" x14ac:dyDescent="0.25">
      <c r="A459" s="3">
        <v>46272</v>
      </c>
      <c r="B459" s="1" t="s">
        <v>21</v>
      </c>
      <c r="C459" s="1" t="s">
        <v>22</v>
      </c>
      <c r="D459" s="1" t="s">
        <v>20</v>
      </c>
      <c r="E459" s="1" t="s">
        <v>23</v>
      </c>
      <c r="F459" s="1">
        <v>27</v>
      </c>
      <c r="G459" s="1">
        <v>8087</v>
      </c>
      <c r="H459" s="1">
        <v>1780</v>
      </c>
      <c r="I459" s="1">
        <v>6307</v>
      </c>
      <c r="J459" s="1">
        <v>1580</v>
      </c>
      <c r="K459" s="1">
        <v>4.4000000000000004</v>
      </c>
      <c r="L459" s="4">
        <f>Table1[[#This Row],[Net Earnings]]-Table1[[#This Row],[Fuel Cost]]</f>
        <v>4727</v>
      </c>
    </row>
    <row r="460" spans="1:12" ht="14.25" customHeight="1" x14ac:dyDescent="0.25">
      <c r="A460" s="3">
        <v>46273</v>
      </c>
      <c r="B460" s="1" t="s">
        <v>24</v>
      </c>
      <c r="C460" s="1" t="s">
        <v>25</v>
      </c>
      <c r="D460" s="1" t="s">
        <v>20</v>
      </c>
      <c r="E460" s="1" t="s">
        <v>26</v>
      </c>
      <c r="F460" s="1">
        <v>26</v>
      </c>
      <c r="G460" s="1">
        <v>6472</v>
      </c>
      <c r="H460" s="1">
        <v>1160</v>
      </c>
      <c r="I460" s="1">
        <v>5312</v>
      </c>
      <c r="J460" s="1">
        <v>1660</v>
      </c>
      <c r="K460" s="1">
        <v>4.7</v>
      </c>
      <c r="L460" s="4">
        <f>Table1[[#This Row],[Net Earnings]]-Table1[[#This Row],[Fuel Cost]]</f>
        <v>3652</v>
      </c>
    </row>
    <row r="461" spans="1:12" ht="14.25" customHeight="1" x14ac:dyDescent="0.25">
      <c r="A461" s="3">
        <v>46274</v>
      </c>
      <c r="B461" s="1" t="s">
        <v>27</v>
      </c>
      <c r="C461" s="1" t="s">
        <v>28</v>
      </c>
      <c r="D461" s="1" t="s">
        <v>20</v>
      </c>
      <c r="E461" s="1" t="s">
        <v>29</v>
      </c>
      <c r="F461" s="1">
        <v>14</v>
      </c>
      <c r="G461" s="1">
        <v>3381</v>
      </c>
      <c r="H461" s="1">
        <v>680</v>
      </c>
      <c r="I461" s="1">
        <v>2701</v>
      </c>
      <c r="J461" s="1">
        <v>1290</v>
      </c>
      <c r="K461" s="1">
        <v>4.7</v>
      </c>
      <c r="L461" s="4">
        <f>Table1[[#This Row],[Net Earnings]]-Table1[[#This Row],[Fuel Cost]]</f>
        <v>1411</v>
      </c>
    </row>
    <row r="462" spans="1:12" ht="14.25" customHeight="1" x14ac:dyDescent="0.25">
      <c r="A462" s="3">
        <v>46255</v>
      </c>
      <c r="B462" s="1" t="s">
        <v>30</v>
      </c>
      <c r="C462" s="1" t="s">
        <v>31</v>
      </c>
      <c r="D462" s="1" t="s">
        <v>14</v>
      </c>
      <c r="E462" s="1" t="s">
        <v>32</v>
      </c>
      <c r="F462" s="1">
        <v>17</v>
      </c>
      <c r="G462" s="1">
        <v>3918</v>
      </c>
      <c r="H462" s="1">
        <v>860</v>
      </c>
      <c r="I462" s="1">
        <v>3058</v>
      </c>
      <c r="J462" s="1">
        <v>1360</v>
      </c>
      <c r="K462" s="1">
        <v>4.5</v>
      </c>
      <c r="L462" s="4">
        <f>Table1[[#This Row],[Net Earnings]]-Table1[[#This Row],[Fuel Cost]]</f>
        <v>1698</v>
      </c>
    </row>
    <row r="463" spans="1:12" ht="14.25" customHeight="1" x14ac:dyDescent="0.25">
      <c r="A463" s="3">
        <v>46256</v>
      </c>
      <c r="B463" s="1" t="s">
        <v>33</v>
      </c>
      <c r="C463" s="1" t="s">
        <v>34</v>
      </c>
      <c r="D463" s="1" t="s">
        <v>35</v>
      </c>
      <c r="E463" s="1" t="s">
        <v>20</v>
      </c>
      <c r="F463" s="1">
        <v>14</v>
      </c>
      <c r="G463" s="1">
        <v>3924</v>
      </c>
      <c r="H463" s="1">
        <v>860</v>
      </c>
      <c r="I463" s="1">
        <v>3064</v>
      </c>
      <c r="J463" s="1">
        <v>1240</v>
      </c>
      <c r="K463" s="1">
        <v>4.9000000000000004</v>
      </c>
      <c r="L463" s="4">
        <f>Table1[[#This Row],[Net Earnings]]-Table1[[#This Row],[Fuel Cost]]</f>
        <v>1824</v>
      </c>
    </row>
    <row r="464" spans="1:12" ht="14.25" customHeight="1" x14ac:dyDescent="0.25">
      <c r="A464" s="3">
        <v>46257</v>
      </c>
      <c r="B464" s="1" t="s">
        <v>36</v>
      </c>
      <c r="C464" s="1" t="s">
        <v>37</v>
      </c>
      <c r="D464" s="1" t="s">
        <v>13</v>
      </c>
      <c r="E464" s="1" t="s">
        <v>38</v>
      </c>
      <c r="F464" s="1">
        <v>16</v>
      </c>
      <c r="G464" s="1">
        <v>3712</v>
      </c>
      <c r="H464" s="1">
        <v>780</v>
      </c>
      <c r="I464" s="1">
        <v>2932</v>
      </c>
      <c r="J464" s="1">
        <v>1360</v>
      </c>
      <c r="K464" s="1">
        <v>4.5</v>
      </c>
      <c r="L464" s="4">
        <f>Table1[[#This Row],[Net Earnings]]-Table1[[#This Row],[Fuel Cost]]</f>
        <v>1572</v>
      </c>
    </row>
    <row r="465" spans="1:12" ht="14.25" customHeight="1" x14ac:dyDescent="0.25">
      <c r="A465" s="3">
        <v>46258</v>
      </c>
      <c r="B465" s="1" t="s">
        <v>39</v>
      </c>
      <c r="C465" s="1" t="s">
        <v>40</v>
      </c>
      <c r="D465" s="1" t="s">
        <v>14</v>
      </c>
      <c r="E465" s="1" t="s">
        <v>41</v>
      </c>
      <c r="F465" s="1">
        <v>14</v>
      </c>
      <c r="G465" s="1">
        <v>3449</v>
      </c>
      <c r="H465" s="1">
        <v>690</v>
      </c>
      <c r="I465" s="1">
        <v>2759</v>
      </c>
      <c r="J465" s="1">
        <v>1280</v>
      </c>
      <c r="K465" s="1">
        <v>4.5</v>
      </c>
      <c r="L465" s="4">
        <f>Table1[[#This Row],[Net Earnings]]-Table1[[#This Row],[Fuel Cost]]</f>
        <v>1479</v>
      </c>
    </row>
    <row r="466" spans="1:12" ht="14.25" customHeight="1" x14ac:dyDescent="0.25">
      <c r="A466" s="3">
        <v>46259</v>
      </c>
      <c r="B466" s="1" t="s">
        <v>42</v>
      </c>
      <c r="C466" s="1" t="s">
        <v>43</v>
      </c>
      <c r="D466" s="1" t="s">
        <v>13</v>
      </c>
      <c r="E466" s="1" t="s">
        <v>44</v>
      </c>
      <c r="F466" s="1">
        <v>17</v>
      </c>
      <c r="G466" s="1">
        <v>4634</v>
      </c>
      <c r="H466" s="1">
        <v>830</v>
      </c>
      <c r="I466" s="1">
        <v>3804</v>
      </c>
      <c r="J466" s="1">
        <v>1540</v>
      </c>
      <c r="K466" s="1">
        <v>4.7</v>
      </c>
      <c r="L466" s="4">
        <f>Table1[[#This Row],[Net Earnings]]-Table1[[#This Row],[Fuel Cost]]</f>
        <v>2264</v>
      </c>
    </row>
    <row r="467" spans="1:12" ht="14.25" customHeight="1" x14ac:dyDescent="0.25">
      <c r="A467" s="3">
        <v>46260</v>
      </c>
      <c r="B467" s="1" t="s">
        <v>45</v>
      </c>
      <c r="C467" s="1" t="s">
        <v>46</v>
      </c>
      <c r="D467" s="1" t="s">
        <v>20</v>
      </c>
      <c r="E467" s="1" t="s">
        <v>47</v>
      </c>
      <c r="F467" s="1">
        <v>26</v>
      </c>
      <c r="G467" s="1">
        <v>6987</v>
      </c>
      <c r="H467" s="1">
        <v>1540</v>
      </c>
      <c r="I467" s="1">
        <v>5447</v>
      </c>
      <c r="J467" s="1">
        <v>1440</v>
      </c>
      <c r="K467" s="1">
        <v>4.5</v>
      </c>
      <c r="L467" s="4">
        <f>Table1[[#This Row],[Net Earnings]]-Table1[[#This Row],[Fuel Cost]]</f>
        <v>4007</v>
      </c>
    </row>
    <row r="468" spans="1:12" ht="14.25" customHeight="1" x14ac:dyDescent="0.25">
      <c r="A468" s="3">
        <v>46261</v>
      </c>
      <c r="B468" s="1" t="s">
        <v>11</v>
      </c>
      <c r="C468" s="1" t="s">
        <v>12</v>
      </c>
      <c r="D468" s="1" t="s">
        <v>14</v>
      </c>
      <c r="E468" s="1" t="s">
        <v>13</v>
      </c>
      <c r="F468" s="1">
        <v>17</v>
      </c>
      <c r="G468" s="1">
        <v>4059</v>
      </c>
      <c r="H468" s="1">
        <v>730</v>
      </c>
      <c r="I468" s="1">
        <v>3329</v>
      </c>
      <c r="J468" s="1">
        <v>1300</v>
      </c>
      <c r="K468" s="1">
        <v>4.8</v>
      </c>
      <c r="L468" s="4">
        <f>Table1[[#This Row],[Net Earnings]]-Table1[[#This Row],[Fuel Cost]]</f>
        <v>2029</v>
      </c>
    </row>
    <row r="469" spans="1:12" ht="14.25" customHeight="1" x14ac:dyDescent="0.25">
      <c r="A469" s="3">
        <v>46262</v>
      </c>
      <c r="B469" s="1" t="s">
        <v>15</v>
      </c>
      <c r="C469" s="1" t="s">
        <v>16</v>
      </c>
      <c r="D469" s="1" t="s">
        <v>20</v>
      </c>
      <c r="E469" s="1" t="s">
        <v>48</v>
      </c>
      <c r="F469" s="1">
        <v>15</v>
      </c>
      <c r="G469" s="1">
        <v>4114</v>
      </c>
      <c r="H469" s="1">
        <v>780</v>
      </c>
      <c r="I469" s="1">
        <v>3334</v>
      </c>
      <c r="J469" s="1">
        <v>1270</v>
      </c>
      <c r="K469" s="1">
        <v>4.7</v>
      </c>
      <c r="L469" s="4">
        <f>Table1[[#This Row],[Net Earnings]]-Table1[[#This Row],[Fuel Cost]]</f>
        <v>2064</v>
      </c>
    </row>
    <row r="470" spans="1:12" ht="14.25" customHeight="1" x14ac:dyDescent="0.25">
      <c r="A470" s="3">
        <v>46263</v>
      </c>
      <c r="B470" s="1" t="s">
        <v>18</v>
      </c>
      <c r="C470" s="1" t="s">
        <v>19</v>
      </c>
      <c r="D470" s="1" t="s">
        <v>13</v>
      </c>
      <c r="E470" s="1" t="s">
        <v>49</v>
      </c>
      <c r="F470" s="1">
        <v>20</v>
      </c>
      <c r="G470" s="1">
        <v>4754</v>
      </c>
      <c r="H470" s="1">
        <v>950</v>
      </c>
      <c r="I470" s="1">
        <v>3804</v>
      </c>
      <c r="J470" s="1">
        <v>1410</v>
      </c>
      <c r="K470" s="1">
        <v>4.8</v>
      </c>
      <c r="L470" s="4">
        <f>Table1[[#This Row],[Net Earnings]]-Table1[[#This Row],[Fuel Cost]]</f>
        <v>2394</v>
      </c>
    </row>
    <row r="471" spans="1:12" ht="14.25" customHeight="1" x14ac:dyDescent="0.25">
      <c r="A471" s="3">
        <v>46264</v>
      </c>
      <c r="B471" s="1" t="s">
        <v>21</v>
      </c>
      <c r="C471" s="1" t="s">
        <v>22</v>
      </c>
      <c r="D471" s="1" t="s">
        <v>14</v>
      </c>
      <c r="E471" s="1" t="s">
        <v>50</v>
      </c>
      <c r="F471" s="1">
        <v>15</v>
      </c>
      <c r="G471" s="1">
        <v>4109</v>
      </c>
      <c r="H471" s="1">
        <v>900</v>
      </c>
      <c r="I471" s="1">
        <v>3209</v>
      </c>
      <c r="J471" s="1">
        <v>1200</v>
      </c>
      <c r="K471" s="1">
        <v>4.5</v>
      </c>
      <c r="L471" s="4">
        <f>Table1[[#This Row],[Net Earnings]]-Table1[[#This Row],[Fuel Cost]]</f>
        <v>2009</v>
      </c>
    </row>
    <row r="472" spans="1:12" ht="14.25" customHeight="1" x14ac:dyDescent="0.25">
      <c r="A472" s="3">
        <v>46265</v>
      </c>
      <c r="B472" s="1" t="s">
        <v>24</v>
      </c>
      <c r="C472" s="1" t="s">
        <v>25</v>
      </c>
      <c r="D472" s="1" t="s">
        <v>13</v>
      </c>
      <c r="E472" s="1" t="s">
        <v>51</v>
      </c>
      <c r="F472" s="1">
        <v>28</v>
      </c>
      <c r="G472" s="1">
        <v>6726</v>
      </c>
      <c r="H472" s="1">
        <v>1350</v>
      </c>
      <c r="I472" s="1">
        <v>5376</v>
      </c>
      <c r="J472" s="1">
        <v>1840</v>
      </c>
      <c r="K472" s="1">
        <v>4.9000000000000004</v>
      </c>
      <c r="L472" s="4">
        <f>Table1[[#This Row],[Net Earnings]]-Table1[[#This Row],[Fuel Cost]]</f>
        <v>3536</v>
      </c>
    </row>
    <row r="473" spans="1:12" ht="14.25" customHeight="1" x14ac:dyDescent="0.25">
      <c r="A473" s="3">
        <v>46266</v>
      </c>
      <c r="B473" s="1" t="s">
        <v>27</v>
      </c>
      <c r="C473" s="1" t="s">
        <v>28</v>
      </c>
      <c r="D473" s="1" t="s">
        <v>13</v>
      </c>
      <c r="E473" s="1" t="s">
        <v>14</v>
      </c>
      <c r="F473" s="1">
        <v>24</v>
      </c>
      <c r="G473" s="1">
        <v>5555</v>
      </c>
      <c r="H473" s="1">
        <v>1000</v>
      </c>
      <c r="I473" s="1">
        <v>4555</v>
      </c>
      <c r="J473" s="1">
        <v>1760</v>
      </c>
      <c r="K473" s="1">
        <v>4.8</v>
      </c>
      <c r="L473" s="4">
        <f>Table1[[#This Row],[Net Earnings]]-Table1[[#This Row],[Fuel Cost]]</f>
        <v>2795</v>
      </c>
    </row>
    <row r="474" spans="1:12" ht="14.25" customHeight="1" x14ac:dyDescent="0.25">
      <c r="A474" s="3">
        <v>46267</v>
      </c>
      <c r="B474" s="1" t="s">
        <v>30</v>
      </c>
      <c r="C474" s="1" t="s">
        <v>31</v>
      </c>
      <c r="D474" s="1" t="s">
        <v>13</v>
      </c>
      <c r="E474" s="1" t="s">
        <v>17</v>
      </c>
      <c r="F474" s="1">
        <v>21</v>
      </c>
      <c r="G474" s="1">
        <v>5279</v>
      </c>
      <c r="H474" s="1">
        <v>1060</v>
      </c>
      <c r="I474" s="1">
        <v>4219</v>
      </c>
      <c r="J474" s="1">
        <v>1520</v>
      </c>
      <c r="K474" s="1">
        <v>4.5999999999999996</v>
      </c>
      <c r="L474" s="4">
        <f>Table1[[#This Row],[Net Earnings]]-Table1[[#This Row],[Fuel Cost]]</f>
        <v>2699</v>
      </c>
    </row>
    <row r="475" spans="1:12" ht="14.25" customHeight="1" x14ac:dyDescent="0.25">
      <c r="A475" s="3">
        <v>46268</v>
      </c>
      <c r="B475" s="1" t="s">
        <v>33</v>
      </c>
      <c r="C475" s="1" t="s">
        <v>34</v>
      </c>
      <c r="D475" s="1" t="s">
        <v>20</v>
      </c>
      <c r="E475" s="1" t="s">
        <v>13</v>
      </c>
      <c r="F475" s="1">
        <v>23</v>
      </c>
      <c r="G475" s="1">
        <v>6710</v>
      </c>
      <c r="H475" s="1">
        <v>1340</v>
      </c>
      <c r="I475" s="1">
        <v>5370</v>
      </c>
      <c r="J475" s="1">
        <v>1410</v>
      </c>
      <c r="K475" s="1">
        <v>4.8</v>
      </c>
      <c r="L475" s="4">
        <f>Table1[[#This Row],[Net Earnings]]-Table1[[#This Row],[Fuel Cost]]</f>
        <v>3960</v>
      </c>
    </row>
    <row r="476" spans="1:12" ht="14.25" customHeight="1" x14ac:dyDescent="0.25">
      <c r="A476" s="3">
        <v>46269</v>
      </c>
      <c r="B476" s="1" t="s">
        <v>36</v>
      </c>
      <c r="C476" s="1" t="s">
        <v>37</v>
      </c>
      <c r="D476" s="1" t="s">
        <v>20</v>
      </c>
      <c r="E476" s="1" t="s">
        <v>23</v>
      </c>
      <c r="F476" s="1">
        <v>20</v>
      </c>
      <c r="G476" s="1">
        <v>5439</v>
      </c>
      <c r="H476" s="1">
        <v>1140</v>
      </c>
      <c r="I476" s="1">
        <v>4299</v>
      </c>
      <c r="J476" s="1">
        <v>1650</v>
      </c>
      <c r="K476" s="1">
        <v>4.5</v>
      </c>
      <c r="L476" s="4">
        <f>Table1[[#This Row],[Net Earnings]]-Table1[[#This Row],[Fuel Cost]]</f>
        <v>2649</v>
      </c>
    </row>
    <row r="477" spans="1:12" ht="14.25" customHeight="1" x14ac:dyDescent="0.25">
      <c r="A477" s="3">
        <v>46270</v>
      </c>
      <c r="B477" s="1" t="s">
        <v>39</v>
      </c>
      <c r="C477" s="1" t="s">
        <v>40</v>
      </c>
      <c r="D477" s="1" t="s">
        <v>20</v>
      </c>
      <c r="E477" s="1" t="s">
        <v>26</v>
      </c>
      <c r="F477" s="1">
        <v>17</v>
      </c>
      <c r="G477" s="1">
        <v>4722</v>
      </c>
      <c r="H477" s="1">
        <v>990</v>
      </c>
      <c r="I477" s="1">
        <v>3732</v>
      </c>
      <c r="J477" s="1">
        <v>1310</v>
      </c>
      <c r="K477" s="1">
        <v>4.8</v>
      </c>
      <c r="L477" s="4">
        <f>Table1[[#This Row],[Net Earnings]]-Table1[[#This Row],[Fuel Cost]]</f>
        <v>2422</v>
      </c>
    </row>
    <row r="478" spans="1:12" ht="14.25" customHeight="1" x14ac:dyDescent="0.25">
      <c r="A478" s="3">
        <v>46271</v>
      </c>
      <c r="B478" s="1" t="s">
        <v>42</v>
      </c>
      <c r="C478" s="1" t="s">
        <v>43</v>
      </c>
      <c r="D478" s="1" t="s">
        <v>20</v>
      </c>
      <c r="E478" s="1" t="s">
        <v>29</v>
      </c>
      <c r="F478" s="1">
        <v>23</v>
      </c>
      <c r="G478" s="1">
        <v>6064</v>
      </c>
      <c r="H478" s="1">
        <v>1210</v>
      </c>
      <c r="I478" s="1">
        <v>4854</v>
      </c>
      <c r="J478" s="1">
        <v>1500</v>
      </c>
      <c r="K478" s="1">
        <v>4.7</v>
      </c>
      <c r="L478" s="4">
        <f>Table1[[#This Row],[Net Earnings]]-Table1[[#This Row],[Fuel Cost]]</f>
        <v>3354</v>
      </c>
    </row>
    <row r="479" spans="1:12" ht="14.25" customHeight="1" x14ac:dyDescent="0.25">
      <c r="A479" s="3">
        <v>46272</v>
      </c>
      <c r="B479" s="1" t="s">
        <v>45</v>
      </c>
      <c r="C479" s="1" t="s">
        <v>46</v>
      </c>
      <c r="D479" s="1" t="s">
        <v>14</v>
      </c>
      <c r="E479" s="1" t="s">
        <v>32</v>
      </c>
      <c r="F479" s="1">
        <v>20</v>
      </c>
      <c r="G479" s="1">
        <v>5293</v>
      </c>
      <c r="H479" s="1">
        <v>1160</v>
      </c>
      <c r="I479" s="1">
        <v>4133</v>
      </c>
      <c r="J479" s="1">
        <v>1510</v>
      </c>
      <c r="K479" s="1">
        <v>4.5</v>
      </c>
      <c r="L479" s="4">
        <f>Table1[[#This Row],[Net Earnings]]-Table1[[#This Row],[Fuel Cost]]</f>
        <v>2623</v>
      </c>
    </row>
    <row r="480" spans="1:12" ht="14.25" customHeight="1" x14ac:dyDescent="0.25">
      <c r="A480" s="3">
        <v>46273</v>
      </c>
      <c r="B480" s="1" t="s">
        <v>11</v>
      </c>
      <c r="C480" s="1" t="s">
        <v>12</v>
      </c>
      <c r="D480" s="1" t="s">
        <v>35</v>
      </c>
      <c r="E480" s="1" t="s">
        <v>20</v>
      </c>
      <c r="F480" s="1">
        <v>27</v>
      </c>
      <c r="G480" s="1">
        <v>7536</v>
      </c>
      <c r="H480" s="1">
        <v>1360</v>
      </c>
      <c r="I480" s="1">
        <v>6176</v>
      </c>
      <c r="J480" s="1">
        <v>1720</v>
      </c>
      <c r="K480" s="1">
        <v>4.7</v>
      </c>
      <c r="L480" s="4">
        <f>Table1[[#This Row],[Net Earnings]]-Table1[[#This Row],[Fuel Cost]]</f>
        <v>4456</v>
      </c>
    </row>
    <row r="481" spans="1:12" ht="14.25" customHeight="1" x14ac:dyDescent="0.25">
      <c r="A481" s="3">
        <v>46274</v>
      </c>
      <c r="B481" s="1" t="s">
        <v>15</v>
      </c>
      <c r="C481" s="1" t="s">
        <v>16</v>
      </c>
      <c r="D481" s="1" t="s">
        <v>13</v>
      </c>
      <c r="E481" s="1" t="s">
        <v>38</v>
      </c>
      <c r="F481" s="1">
        <v>23</v>
      </c>
      <c r="G481" s="1">
        <v>5584</v>
      </c>
      <c r="H481" s="1">
        <v>1230</v>
      </c>
      <c r="I481" s="1">
        <v>4354</v>
      </c>
      <c r="J481" s="1">
        <v>1560</v>
      </c>
      <c r="K481" s="1">
        <v>4.5999999999999996</v>
      </c>
      <c r="L481" s="4">
        <f>Table1[[#This Row],[Net Earnings]]-Table1[[#This Row],[Fuel Cost]]</f>
        <v>2794</v>
      </c>
    </row>
    <row r="482" spans="1:12" ht="14.25" customHeight="1" x14ac:dyDescent="0.25">
      <c r="A482" s="3">
        <v>46255</v>
      </c>
      <c r="B482" s="1" t="s">
        <v>18</v>
      </c>
      <c r="C482" s="1" t="s">
        <v>19</v>
      </c>
      <c r="D482" s="1" t="s">
        <v>14</v>
      </c>
      <c r="E482" s="1" t="s">
        <v>41</v>
      </c>
      <c r="F482" s="1">
        <v>23</v>
      </c>
      <c r="G482" s="1">
        <v>5420</v>
      </c>
      <c r="H482" s="1">
        <v>1030</v>
      </c>
      <c r="I482" s="1">
        <v>4390</v>
      </c>
      <c r="J482" s="1">
        <v>1390</v>
      </c>
      <c r="K482" s="1">
        <v>4.5999999999999996</v>
      </c>
      <c r="L482" s="4">
        <f>Table1[[#This Row],[Net Earnings]]-Table1[[#This Row],[Fuel Cost]]</f>
        <v>3000</v>
      </c>
    </row>
    <row r="483" spans="1:12" ht="14.25" customHeight="1" x14ac:dyDescent="0.25">
      <c r="A483" s="3">
        <v>46256</v>
      </c>
      <c r="B483" s="1" t="s">
        <v>21</v>
      </c>
      <c r="C483" s="1" t="s">
        <v>22</v>
      </c>
      <c r="D483" s="1" t="s">
        <v>13</v>
      </c>
      <c r="E483" s="1" t="s">
        <v>44</v>
      </c>
      <c r="F483" s="1">
        <v>21</v>
      </c>
      <c r="G483" s="1">
        <v>5112</v>
      </c>
      <c r="H483" s="1">
        <v>1120</v>
      </c>
      <c r="I483" s="1">
        <v>3992</v>
      </c>
      <c r="J483" s="1">
        <v>1630</v>
      </c>
      <c r="K483" s="1">
        <v>4.5</v>
      </c>
      <c r="L483" s="4">
        <f>Table1[[#This Row],[Net Earnings]]-Table1[[#This Row],[Fuel Cost]]</f>
        <v>2362</v>
      </c>
    </row>
    <row r="484" spans="1:12" ht="14.25" customHeight="1" x14ac:dyDescent="0.25">
      <c r="A484" s="3">
        <v>46257</v>
      </c>
      <c r="B484" s="1" t="s">
        <v>24</v>
      </c>
      <c r="C484" s="1" t="s">
        <v>25</v>
      </c>
      <c r="D484" s="1" t="s">
        <v>20</v>
      </c>
      <c r="E484" s="1" t="s">
        <v>47</v>
      </c>
      <c r="F484" s="1">
        <v>28</v>
      </c>
      <c r="G484" s="1">
        <v>8061</v>
      </c>
      <c r="H484" s="1">
        <v>1450</v>
      </c>
      <c r="I484" s="1">
        <v>6611</v>
      </c>
      <c r="J484" s="1">
        <v>1500</v>
      </c>
      <c r="K484" s="1">
        <v>4.7</v>
      </c>
      <c r="L484" s="4">
        <f>Table1[[#This Row],[Net Earnings]]-Table1[[#This Row],[Fuel Cost]]</f>
        <v>5111</v>
      </c>
    </row>
    <row r="485" spans="1:12" ht="14.25" customHeight="1" x14ac:dyDescent="0.25">
      <c r="A485" s="3">
        <v>46258</v>
      </c>
      <c r="B485" s="1" t="s">
        <v>27</v>
      </c>
      <c r="C485" s="1" t="s">
        <v>28</v>
      </c>
      <c r="D485" s="1" t="s">
        <v>14</v>
      </c>
      <c r="E485" s="1" t="s">
        <v>13</v>
      </c>
      <c r="F485" s="1">
        <v>21</v>
      </c>
      <c r="G485" s="1">
        <v>5475</v>
      </c>
      <c r="H485" s="1">
        <v>1040</v>
      </c>
      <c r="I485" s="1">
        <v>4435</v>
      </c>
      <c r="J485" s="1">
        <v>1640</v>
      </c>
      <c r="K485" s="1">
        <v>4.5999999999999996</v>
      </c>
      <c r="L485" s="4">
        <f>Table1[[#This Row],[Net Earnings]]-Table1[[#This Row],[Fuel Cost]]</f>
        <v>2795</v>
      </c>
    </row>
    <row r="486" spans="1:12" ht="14.25" customHeight="1" x14ac:dyDescent="0.25">
      <c r="A486" s="3">
        <v>46259</v>
      </c>
      <c r="B486" s="1" t="s">
        <v>30</v>
      </c>
      <c r="C486" s="1" t="s">
        <v>31</v>
      </c>
      <c r="D486" s="1" t="s">
        <v>20</v>
      </c>
      <c r="E486" s="1" t="s">
        <v>48</v>
      </c>
      <c r="F486" s="1">
        <v>24</v>
      </c>
      <c r="G486" s="1">
        <v>5616</v>
      </c>
      <c r="H486" s="1">
        <v>1240</v>
      </c>
      <c r="I486" s="1">
        <v>4376</v>
      </c>
      <c r="J486" s="1">
        <v>1630</v>
      </c>
      <c r="K486" s="1">
        <v>4.9000000000000004</v>
      </c>
      <c r="L486" s="4">
        <f>Table1[[#This Row],[Net Earnings]]-Table1[[#This Row],[Fuel Cost]]</f>
        <v>2746</v>
      </c>
    </row>
    <row r="487" spans="1:12" ht="14.25" customHeight="1" x14ac:dyDescent="0.25">
      <c r="A487" s="3">
        <v>46260</v>
      </c>
      <c r="B487" s="1" t="s">
        <v>33</v>
      </c>
      <c r="C487" s="1" t="s">
        <v>34</v>
      </c>
      <c r="D487" s="1" t="s">
        <v>13</v>
      </c>
      <c r="E487" s="1" t="s">
        <v>49</v>
      </c>
      <c r="F487" s="1">
        <v>17</v>
      </c>
      <c r="G487" s="1">
        <v>4531</v>
      </c>
      <c r="H487" s="1">
        <v>950</v>
      </c>
      <c r="I487" s="1">
        <v>3581</v>
      </c>
      <c r="J487" s="1">
        <v>1370</v>
      </c>
      <c r="K487" s="1">
        <v>4.7</v>
      </c>
      <c r="L487" s="4">
        <f>Table1[[#This Row],[Net Earnings]]-Table1[[#This Row],[Fuel Cost]]</f>
        <v>2211</v>
      </c>
    </row>
    <row r="488" spans="1:12" ht="14.25" customHeight="1" x14ac:dyDescent="0.25">
      <c r="A488" s="3">
        <v>46261</v>
      </c>
      <c r="B488" s="1" t="s">
        <v>36</v>
      </c>
      <c r="C488" s="1" t="s">
        <v>37</v>
      </c>
      <c r="D488" s="1" t="s">
        <v>14</v>
      </c>
      <c r="E488" s="1" t="s">
        <v>50</v>
      </c>
      <c r="F488" s="1">
        <v>22</v>
      </c>
      <c r="G488" s="1">
        <v>5263</v>
      </c>
      <c r="H488" s="1">
        <v>1160</v>
      </c>
      <c r="I488" s="1">
        <v>4103</v>
      </c>
      <c r="J488" s="1">
        <v>1660</v>
      </c>
      <c r="K488" s="1">
        <v>4.5999999999999996</v>
      </c>
      <c r="L488" s="4">
        <f>Table1[[#This Row],[Net Earnings]]-Table1[[#This Row],[Fuel Cost]]</f>
        <v>2443</v>
      </c>
    </row>
    <row r="489" spans="1:12" ht="14.25" customHeight="1" x14ac:dyDescent="0.25">
      <c r="A489" s="3">
        <v>46262</v>
      </c>
      <c r="B489" s="1" t="s">
        <v>39</v>
      </c>
      <c r="C489" s="1" t="s">
        <v>40</v>
      </c>
      <c r="D489" s="1" t="s">
        <v>13</v>
      </c>
      <c r="E489" s="1" t="s">
        <v>51</v>
      </c>
      <c r="F489" s="1">
        <v>16</v>
      </c>
      <c r="G489" s="1">
        <v>3666</v>
      </c>
      <c r="H489" s="1">
        <v>770</v>
      </c>
      <c r="I489" s="1">
        <v>2896</v>
      </c>
      <c r="J489" s="1">
        <v>1180</v>
      </c>
      <c r="K489" s="1">
        <v>4.5999999999999996</v>
      </c>
      <c r="L489" s="4">
        <f>Table1[[#This Row],[Net Earnings]]-Table1[[#This Row],[Fuel Cost]]</f>
        <v>1716</v>
      </c>
    </row>
    <row r="490" spans="1:12" ht="14.25" customHeight="1" x14ac:dyDescent="0.25">
      <c r="A490" s="3">
        <v>46263</v>
      </c>
      <c r="B490" s="1" t="s">
        <v>42</v>
      </c>
      <c r="C490" s="1" t="s">
        <v>43</v>
      </c>
      <c r="D490" s="1" t="s">
        <v>13</v>
      </c>
      <c r="E490" s="1" t="s">
        <v>14</v>
      </c>
      <c r="F490" s="1">
        <v>29</v>
      </c>
      <c r="G490" s="1">
        <v>7487</v>
      </c>
      <c r="H490" s="1">
        <v>1500</v>
      </c>
      <c r="I490" s="1">
        <v>5987</v>
      </c>
      <c r="J490" s="1">
        <v>1710</v>
      </c>
      <c r="K490" s="1">
        <v>4.5</v>
      </c>
      <c r="L490" s="4">
        <f>Table1[[#This Row],[Net Earnings]]-Table1[[#This Row],[Fuel Cost]]</f>
        <v>4277</v>
      </c>
    </row>
    <row r="491" spans="1:12" ht="14.25" customHeight="1" x14ac:dyDescent="0.25">
      <c r="A491" s="3">
        <v>46264</v>
      </c>
      <c r="B491" s="1" t="s">
        <v>45</v>
      </c>
      <c r="C491" s="1" t="s">
        <v>46</v>
      </c>
      <c r="D491" s="1" t="s">
        <v>13</v>
      </c>
      <c r="E491" s="1" t="s">
        <v>17</v>
      </c>
      <c r="F491" s="1">
        <v>28</v>
      </c>
      <c r="G491" s="1">
        <v>7326</v>
      </c>
      <c r="H491" s="1">
        <v>1470</v>
      </c>
      <c r="I491" s="1">
        <v>5856</v>
      </c>
      <c r="J491" s="1">
        <v>1880</v>
      </c>
      <c r="K491" s="1">
        <v>4.3</v>
      </c>
      <c r="L491" s="4">
        <f>Table1[[#This Row],[Net Earnings]]-Table1[[#This Row],[Fuel Cost]]</f>
        <v>3976</v>
      </c>
    </row>
    <row r="492" spans="1:12" ht="14.25" customHeight="1" x14ac:dyDescent="0.25">
      <c r="A492" s="3">
        <v>46265</v>
      </c>
      <c r="B492" s="1" t="s">
        <v>11</v>
      </c>
      <c r="C492" s="1" t="s">
        <v>12</v>
      </c>
      <c r="D492" s="1" t="s">
        <v>20</v>
      </c>
      <c r="E492" s="1" t="s">
        <v>13</v>
      </c>
      <c r="F492" s="1">
        <v>28</v>
      </c>
      <c r="G492" s="1">
        <v>6667</v>
      </c>
      <c r="H492" s="1">
        <v>1400</v>
      </c>
      <c r="I492" s="1">
        <v>5267</v>
      </c>
      <c r="J492" s="1">
        <v>1880</v>
      </c>
      <c r="K492" s="1">
        <v>4.5</v>
      </c>
      <c r="L492" s="4">
        <f>Table1[[#This Row],[Net Earnings]]-Table1[[#This Row],[Fuel Cost]]</f>
        <v>3387</v>
      </c>
    </row>
    <row r="493" spans="1:12" ht="14.25" customHeight="1" x14ac:dyDescent="0.25">
      <c r="A493" s="3">
        <v>46266</v>
      </c>
      <c r="B493" s="1" t="s">
        <v>15</v>
      </c>
      <c r="C493" s="1" t="s">
        <v>16</v>
      </c>
      <c r="D493" s="1" t="s">
        <v>20</v>
      </c>
      <c r="E493" s="1" t="s">
        <v>23</v>
      </c>
      <c r="F493" s="1">
        <v>27</v>
      </c>
      <c r="G493" s="1">
        <v>6818</v>
      </c>
      <c r="H493" s="1">
        <v>1360</v>
      </c>
      <c r="I493" s="1">
        <v>5458</v>
      </c>
      <c r="J493" s="1">
        <v>1740</v>
      </c>
      <c r="K493" s="1">
        <v>4.5</v>
      </c>
      <c r="L493" s="4">
        <f>Table1[[#This Row],[Net Earnings]]-Table1[[#This Row],[Fuel Cost]]</f>
        <v>3718</v>
      </c>
    </row>
    <row r="494" spans="1:12" ht="14.25" customHeight="1" x14ac:dyDescent="0.25">
      <c r="A494" s="3">
        <v>46267</v>
      </c>
      <c r="B494" s="1" t="s">
        <v>18</v>
      </c>
      <c r="C494" s="1" t="s">
        <v>19</v>
      </c>
      <c r="D494" s="1" t="s">
        <v>20</v>
      </c>
      <c r="E494" s="1" t="s">
        <v>26</v>
      </c>
      <c r="F494" s="1">
        <v>14</v>
      </c>
      <c r="G494" s="1">
        <v>3791</v>
      </c>
      <c r="H494" s="1">
        <v>830</v>
      </c>
      <c r="I494" s="1">
        <v>2961</v>
      </c>
      <c r="J494" s="1">
        <v>1360</v>
      </c>
      <c r="K494" s="1">
        <v>4.8</v>
      </c>
      <c r="L494" s="4">
        <f>Table1[[#This Row],[Net Earnings]]-Table1[[#This Row],[Fuel Cost]]</f>
        <v>1601</v>
      </c>
    </row>
    <row r="495" spans="1:12" ht="14.25" customHeight="1" x14ac:dyDescent="0.25">
      <c r="A495" s="3">
        <v>46268</v>
      </c>
      <c r="B495" s="1" t="s">
        <v>21</v>
      </c>
      <c r="C495" s="1" t="s">
        <v>22</v>
      </c>
      <c r="D495" s="1" t="s">
        <v>20</v>
      </c>
      <c r="E495" s="1" t="s">
        <v>29</v>
      </c>
      <c r="F495" s="1">
        <v>22</v>
      </c>
      <c r="G495" s="1">
        <v>6218</v>
      </c>
      <c r="H495" s="1">
        <v>1370</v>
      </c>
      <c r="I495" s="1">
        <v>4848</v>
      </c>
      <c r="J495" s="1">
        <v>1620</v>
      </c>
      <c r="K495" s="1">
        <v>4.5</v>
      </c>
      <c r="L495" s="4">
        <f>Table1[[#This Row],[Net Earnings]]-Table1[[#This Row],[Fuel Cost]]</f>
        <v>3228</v>
      </c>
    </row>
    <row r="496" spans="1:12" ht="14.25" customHeight="1" x14ac:dyDescent="0.25">
      <c r="A496" s="3">
        <v>46269</v>
      </c>
      <c r="B496" s="1" t="s">
        <v>24</v>
      </c>
      <c r="C496" s="1" t="s">
        <v>25</v>
      </c>
      <c r="D496" s="1" t="s">
        <v>14</v>
      </c>
      <c r="E496" s="1" t="s">
        <v>32</v>
      </c>
      <c r="F496" s="1">
        <v>23</v>
      </c>
      <c r="G496" s="1">
        <v>6228</v>
      </c>
      <c r="H496" s="1">
        <v>1180</v>
      </c>
      <c r="I496" s="1">
        <v>5048</v>
      </c>
      <c r="J496" s="1">
        <v>1480</v>
      </c>
      <c r="K496" s="1">
        <v>4.8</v>
      </c>
      <c r="L496" s="4">
        <f>Table1[[#This Row],[Net Earnings]]-Table1[[#This Row],[Fuel Cost]]</f>
        <v>3568</v>
      </c>
    </row>
    <row r="497" spans="1:12" ht="14.25" customHeight="1" x14ac:dyDescent="0.25">
      <c r="A497" s="3">
        <v>46270</v>
      </c>
      <c r="B497" s="1" t="s">
        <v>27</v>
      </c>
      <c r="C497" s="1" t="s">
        <v>28</v>
      </c>
      <c r="D497" s="1" t="s">
        <v>35</v>
      </c>
      <c r="E497" s="1" t="s">
        <v>20</v>
      </c>
      <c r="F497" s="1">
        <v>18</v>
      </c>
      <c r="G497" s="1">
        <v>4702</v>
      </c>
      <c r="H497" s="1">
        <v>850</v>
      </c>
      <c r="I497" s="1">
        <v>3852</v>
      </c>
      <c r="J497" s="1">
        <v>1400</v>
      </c>
      <c r="K497" s="1">
        <v>4.3</v>
      </c>
      <c r="L497" s="4">
        <f>Table1[[#This Row],[Net Earnings]]-Table1[[#This Row],[Fuel Cost]]</f>
        <v>2452</v>
      </c>
    </row>
    <row r="498" spans="1:12" ht="14.25" customHeight="1" x14ac:dyDescent="0.25">
      <c r="A498" s="3">
        <v>46271</v>
      </c>
      <c r="B498" s="1" t="s">
        <v>30</v>
      </c>
      <c r="C498" s="1" t="s">
        <v>31</v>
      </c>
      <c r="D498" s="1" t="s">
        <v>13</v>
      </c>
      <c r="E498" s="1" t="s">
        <v>38</v>
      </c>
      <c r="F498" s="1">
        <v>20</v>
      </c>
      <c r="G498" s="1">
        <v>5119</v>
      </c>
      <c r="H498" s="1">
        <v>1130</v>
      </c>
      <c r="I498" s="1">
        <v>3989</v>
      </c>
      <c r="J498" s="1">
        <v>1630</v>
      </c>
      <c r="K498" s="1">
        <v>4.4000000000000004</v>
      </c>
      <c r="L498" s="4">
        <f>Table1[[#This Row],[Net Earnings]]-Table1[[#This Row],[Fuel Cost]]</f>
        <v>2359</v>
      </c>
    </row>
    <row r="499" spans="1:12" ht="14.25" customHeight="1" x14ac:dyDescent="0.25">
      <c r="A499" s="3">
        <v>46272</v>
      </c>
      <c r="B499" s="1" t="s">
        <v>33</v>
      </c>
      <c r="C499" s="1" t="s">
        <v>34</v>
      </c>
      <c r="D499" s="1" t="s">
        <v>14</v>
      </c>
      <c r="E499" s="1" t="s">
        <v>41</v>
      </c>
      <c r="F499" s="1">
        <v>19</v>
      </c>
      <c r="G499" s="1">
        <v>5051</v>
      </c>
      <c r="H499" s="1">
        <v>960</v>
      </c>
      <c r="I499" s="1">
        <v>4091</v>
      </c>
      <c r="J499" s="1">
        <v>1450</v>
      </c>
      <c r="K499" s="1">
        <v>4.5</v>
      </c>
      <c r="L499" s="4">
        <f>Table1[[#This Row],[Net Earnings]]-Table1[[#This Row],[Fuel Cost]]</f>
        <v>2641</v>
      </c>
    </row>
    <row r="500" spans="1:12" ht="14.25" customHeight="1" x14ac:dyDescent="0.25">
      <c r="A500" s="3">
        <v>46273</v>
      </c>
      <c r="B500" s="1" t="s">
        <v>36</v>
      </c>
      <c r="C500" s="1" t="s">
        <v>37</v>
      </c>
      <c r="D500" s="1" t="s">
        <v>13</v>
      </c>
      <c r="E500" s="1" t="s">
        <v>44</v>
      </c>
      <c r="F500" s="1">
        <v>25</v>
      </c>
      <c r="G500" s="1">
        <v>7301</v>
      </c>
      <c r="H500" s="1">
        <v>1390</v>
      </c>
      <c r="I500" s="1">
        <v>5911</v>
      </c>
      <c r="J500" s="1">
        <v>1740</v>
      </c>
      <c r="K500" s="1">
        <v>4.7</v>
      </c>
      <c r="L500" s="4">
        <f>Table1[[#This Row],[Net Earnings]]-Table1[[#This Row],[Fuel Cost]]</f>
        <v>4171</v>
      </c>
    </row>
    <row r="501" spans="1:12" ht="14.25" customHeight="1" x14ac:dyDescent="0.25">
      <c r="A501" s="3">
        <v>46274</v>
      </c>
      <c r="B501" s="1" t="s">
        <v>39</v>
      </c>
      <c r="C501" s="1" t="s">
        <v>40</v>
      </c>
      <c r="D501" s="1" t="s">
        <v>20</v>
      </c>
      <c r="E501" s="1" t="s">
        <v>47</v>
      </c>
      <c r="F501" s="1">
        <v>17</v>
      </c>
      <c r="G501" s="1">
        <v>4078</v>
      </c>
      <c r="H501" s="1">
        <v>900</v>
      </c>
      <c r="I501" s="1">
        <v>3178</v>
      </c>
      <c r="J501" s="1">
        <v>1170</v>
      </c>
      <c r="K501" s="1">
        <v>4.5</v>
      </c>
      <c r="L501" s="4">
        <f>Table1[[#This Row],[Net Earnings]]-Table1[[#This Row],[Fuel Cost]]</f>
        <v>2008</v>
      </c>
    </row>
    <row r="502" spans="1:12" ht="14.25" customHeight="1" x14ac:dyDescent="0.25">
      <c r="A502" s="3">
        <v>46155</v>
      </c>
      <c r="B502" s="1" t="s">
        <v>15</v>
      </c>
      <c r="C502" s="1" t="s">
        <v>16</v>
      </c>
      <c r="D502" s="1" t="s">
        <v>14</v>
      </c>
      <c r="E502" s="1" t="s">
        <v>41</v>
      </c>
      <c r="F502" s="1">
        <v>19</v>
      </c>
      <c r="G502" s="1">
        <v>5182</v>
      </c>
      <c r="H502" s="1">
        <v>930</v>
      </c>
      <c r="I502" s="1">
        <v>4252</v>
      </c>
      <c r="J502" s="1">
        <v>1170</v>
      </c>
      <c r="K502" s="1">
        <v>4.5</v>
      </c>
      <c r="L502" s="4">
        <f>Table1[[#This Row],[Net Earnings]]-Table1[[#This Row],[Fuel Cost]]</f>
        <v>3082</v>
      </c>
    </row>
    <row r="503" spans="1:12" ht="14.25" customHeight="1" x14ac:dyDescent="0.25">
      <c r="A503" s="3">
        <v>46156</v>
      </c>
      <c r="B503" s="1" t="s">
        <v>36</v>
      </c>
      <c r="C503" s="1" t="s">
        <v>37</v>
      </c>
      <c r="D503" s="1" t="s">
        <v>20</v>
      </c>
      <c r="E503" s="1" t="s">
        <v>23</v>
      </c>
      <c r="F503" s="1">
        <v>10</v>
      </c>
      <c r="G503" s="1">
        <v>2751</v>
      </c>
      <c r="H503" s="1">
        <v>550</v>
      </c>
      <c r="I503" s="1">
        <v>2201</v>
      </c>
      <c r="J503" s="1">
        <v>1030</v>
      </c>
      <c r="K503" s="1">
        <v>4.4000000000000004</v>
      </c>
      <c r="L503" s="4">
        <f>Table1[[#This Row],[Net Earnings]]-Table1[[#This Row],[Fuel Cost]]</f>
        <v>1171</v>
      </c>
    </row>
    <row r="504" spans="1:12" ht="14.25" customHeight="1" x14ac:dyDescent="0.25">
      <c r="A504" s="3">
        <v>46157</v>
      </c>
      <c r="B504" s="1" t="s">
        <v>21</v>
      </c>
      <c r="C504" s="1" t="s">
        <v>22</v>
      </c>
      <c r="D504" s="1" t="s">
        <v>13</v>
      </c>
      <c r="E504" s="1" t="s">
        <v>49</v>
      </c>
      <c r="F504" s="1">
        <v>15</v>
      </c>
      <c r="G504" s="1">
        <v>3295</v>
      </c>
      <c r="H504" s="1">
        <v>690</v>
      </c>
      <c r="I504" s="1">
        <v>2605</v>
      </c>
      <c r="J504" s="1">
        <v>1210</v>
      </c>
      <c r="K504" s="1">
        <v>4.3</v>
      </c>
      <c r="L504" s="4">
        <f>Table1[[#This Row],[Net Earnings]]-Table1[[#This Row],[Fuel Cost]]</f>
        <v>1395</v>
      </c>
    </row>
    <row r="505" spans="1:12" ht="14.25" customHeight="1" x14ac:dyDescent="0.25">
      <c r="A505" s="3">
        <v>46158</v>
      </c>
      <c r="B505" s="1" t="s">
        <v>42</v>
      </c>
      <c r="C505" s="1" t="s">
        <v>43</v>
      </c>
      <c r="D505" s="1" t="s">
        <v>13</v>
      </c>
      <c r="E505" s="1" t="s">
        <v>38</v>
      </c>
      <c r="F505" s="1">
        <v>27</v>
      </c>
      <c r="G505" s="1">
        <v>6297</v>
      </c>
      <c r="H505" s="1">
        <v>1130</v>
      </c>
      <c r="I505" s="1">
        <v>5167</v>
      </c>
      <c r="J505" s="1">
        <v>1600</v>
      </c>
      <c r="K505" s="1">
        <v>4.4000000000000004</v>
      </c>
      <c r="L505" s="4">
        <f>Table1[[#This Row],[Net Earnings]]-Table1[[#This Row],[Fuel Cost]]</f>
        <v>3567</v>
      </c>
    </row>
    <row r="506" spans="1:12" ht="14.25" customHeight="1" x14ac:dyDescent="0.25">
      <c r="A506" s="3">
        <v>46159</v>
      </c>
      <c r="B506" s="1" t="s">
        <v>27</v>
      </c>
      <c r="C506" s="1" t="s">
        <v>28</v>
      </c>
      <c r="D506" s="1" t="s">
        <v>20</v>
      </c>
      <c r="E506" s="1" t="s">
        <v>13</v>
      </c>
      <c r="F506" s="1">
        <v>25</v>
      </c>
      <c r="G506" s="1">
        <v>7024</v>
      </c>
      <c r="H506" s="1">
        <v>1260</v>
      </c>
      <c r="I506" s="1">
        <v>5764</v>
      </c>
      <c r="J506" s="1">
        <v>1580</v>
      </c>
      <c r="K506" s="1">
        <v>4.5</v>
      </c>
      <c r="L506" s="4">
        <f>Table1[[#This Row],[Net Earnings]]-Table1[[#This Row],[Fuel Cost]]</f>
        <v>4184</v>
      </c>
    </row>
    <row r="507" spans="1:12" ht="14.25" customHeight="1" x14ac:dyDescent="0.25">
      <c r="A507" s="3">
        <v>46160</v>
      </c>
      <c r="B507" s="1" t="s">
        <v>11</v>
      </c>
      <c r="C507" s="1" t="s">
        <v>12</v>
      </c>
      <c r="D507" s="1" t="s">
        <v>20</v>
      </c>
      <c r="E507" s="1" t="s">
        <v>48</v>
      </c>
      <c r="F507" s="1">
        <v>21</v>
      </c>
      <c r="G507" s="1">
        <v>5688</v>
      </c>
      <c r="H507" s="1">
        <v>1140</v>
      </c>
      <c r="I507" s="1">
        <v>4548</v>
      </c>
      <c r="J507" s="1">
        <v>1310</v>
      </c>
      <c r="K507" s="1">
        <v>4.8</v>
      </c>
      <c r="L507" s="4">
        <f>Table1[[#This Row],[Net Earnings]]-Table1[[#This Row],[Fuel Cost]]</f>
        <v>3238</v>
      </c>
    </row>
    <row r="508" spans="1:12" ht="14.25" customHeight="1" x14ac:dyDescent="0.25">
      <c r="A508" s="3">
        <v>46161</v>
      </c>
      <c r="B508" s="1" t="s">
        <v>33</v>
      </c>
      <c r="C508" s="1" t="s">
        <v>34</v>
      </c>
      <c r="D508" s="1" t="s">
        <v>35</v>
      </c>
      <c r="E508" s="1" t="s">
        <v>20</v>
      </c>
      <c r="F508" s="1">
        <v>13</v>
      </c>
      <c r="G508" s="1">
        <v>3156</v>
      </c>
      <c r="H508" s="1">
        <v>600</v>
      </c>
      <c r="I508" s="1">
        <v>2556</v>
      </c>
      <c r="J508" s="1">
        <v>1100</v>
      </c>
      <c r="K508" s="1">
        <v>4.4000000000000004</v>
      </c>
      <c r="L508" s="4">
        <f>Table1[[#This Row],[Net Earnings]]-Table1[[#This Row],[Fuel Cost]]</f>
        <v>1456</v>
      </c>
    </row>
    <row r="509" spans="1:12" ht="14.25" customHeight="1" x14ac:dyDescent="0.25">
      <c r="A509" s="3">
        <v>46162</v>
      </c>
      <c r="B509" s="1" t="s">
        <v>18</v>
      </c>
      <c r="C509" s="1" t="s">
        <v>19</v>
      </c>
      <c r="D509" s="1" t="s">
        <v>13</v>
      </c>
      <c r="E509" s="1" t="s">
        <v>17</v>
      </c>
      <c r="F509" s="1">
        <v>28</v>
      </c>
      <c r="G509" s="1">
        <v>6670</v>
      </c>
      <c r="H509" s="1">
        <v>1400</v>
      </c>
      <c r="I509" s="1">
        <v>5270</v>
      </c>
      <c r="J509" s="1">
        <v>1520</v>
      </c>
      <c r="K509" s="1">
        <v>4.9000000000000004</v>
      </c>
      <c r="L509" s="4">
        <f>Table1[[#This Row],[Net Earnings]]-Table1[[#This Row],[Fuel Cost]]</f>
        <v>3750</v>
      </c>
    </row>
    <row r="510" spans="1:12" ht="14.25" customHeight="1" x14ac:dyDescent="0.25">
      <c r="A510" s="3">
        <v>46163</v>
      </c>
      <c r="B510" s="1" t="s">
        <v>39</v>
      </c>
      <c r="C510" s="1" t="s">
        <v>40</v>
      </c>
      <c r="D510" s="1" t="s">
        <v>14</v>
      </c>
      <c r="E510" s="1" t="s">
        <v>13</v>
      </c>
      <c r="F510" s="1">
        <v>10</v>
      </c>
      <c r="G510" s="1">
        <v>2317</v>
      </c>
      <c r="H510" s="1">
        <v>420</v>
      </c>
      <c r="I510" s="1">
        <v>1897</v>
      </c>
      <c r="J510" s="1">
        <v>1070</v>
      </c>
      <c r="K510" s="1">
        <v>4.3</v>
      </c>
      <c r="L510" s="4">
        <f>Table1[[#This Row],[Net Earnings]]-Table1[[#This Row],[Fuel Cost]]</f>
        <v>827</v>
      </c>
    </row>
    <row r="511" spans="1:12" ht="14.25" customHeight="1" x14ac:dyDescent="0.25">
      <c r="A511" s="3">
        <v>46164</v>
      </c>
      <c r="B511" s="1" t="s">
        <v>24</v>
      </c>
      <c r="C511" s="1" t="s">
        <v>25</v>
      </c>
      <c r="D511" s="1" t="s">
        <v>14</v>
      </c>
      <c r="E511" s="1" t="s">
        <v>32</v>
      </c>
      <c r="F511" s="1">
        <v>26</v>
      </c>
      <c r="G511" s="1">
        <v>7436</v>
      </c>
      <c r="H511" s="1">
        <v>1410</v>
      </c>
      <c r="I511" s="1">
        <v>6026</v>
      </c>
      <c r="J511" s="1">
        <v>1740</v>
      </c>
      <c r="K511" s="1">
        <v>4.8</v>
      </c>
      <c r="L511" s="4">
        <f>Table1[[#This Row],[Net Earnings]]-Table1[[#This Row],[Fuel Cost]]</f>
        <v>4286</v>
      </c>
    </row>
    <row r="512" spans="1:12" ht="14.25" customHeight="1" x14ac:dyDescent="0.25">
      <c r="A512" s="3">
        <v>46165</v>
      </c>
      <c r="B512" s="1" t="s">
        <v>45</v>
      </c>
      <c r="C512" s="1" t="s">
        <v>46</v>
      </c>
      <c r="D512" s="1" t="s">
        <v>13</v>
      </c>
      <c r="E512" s="1" t="s">
        <v>14</v>
      </c>
      <c r="F512" s="1">
        <v>17</v>
      </c>
      <c r="G512" s="1">
        <v>3994</v>
      </c>
      <c r="H512" s="1">
        <v>760</v>
      </c>
      <c r="I512" s="1">
        <v>3234</v>
      </c>
      <c r="J512" s="1">
        <v>1460</v>
      </c>
      <c r="K512" s="1">
        <v>4.8</v>
      </c>
      <c r="L512" s="4">
        <f>Table1[[#This Row],[Net Earnings]]-Table1[[#This Row],[Fuel Cost]]</f>
        <v>1774</v>
      </c>
    </row>
    <row r="513" spans="1:12" ht="14.25" customHeight="1" x14ac:dyDescent="0.25">
      <c r="A513" s="3">
        <v>46166</v>
      </c>
      <c r="B513" s="1" t="s">
        <v>30</v>
      </c>
      <c r="C513" s="1" t="s">
        <v>31</v>
      </c>
      <c r="D513" s="1" t="s">
        <v>20</v>
      </c>
      <c r="E513" s="1" t="s">
        <v>47</v>
      </c>
      <c r="F513" s="1">
        <v>24</v>
      </c>
      <c r="G513" s="1">
        <v>5294</v>
      </c>
      <c r="H513" s="1">
        <v>950</v>
      </c>
      <c r="I513" s="1">
        <v>4344</v>
      </c>
      <c r="J513" s="1">
        <v>1430</v>
      </c>
      <c r="K513" s="1">
        <v>4.7</v>
      </c>
      <c r="L513" s="4">
        <f>Table1[[#This Row],[Net Earnings]]-Table1[[#This Row],[Fuel Cost]]</f>
        <v>2914</v>
      </c>
    </row>
    <row r="514" spans="1:12" ht="14.25" customHeight="1" x14ac:dyDescent="0.25">
      <c r="A514" s="3">
        <v>46167</v>
      </c>
      <c r="B514" s="1" t="s">
        <v>15</v>
      </c>
      <c r="C514" s="1" t="s">
        <v>16</v>
      </c>
      <c r="D514" s="1" t="s">
        <v>20</v>
      </c>
      <c r="E514" s="1" t="s">
        <v>29</v>
      </c>
      <c r="F514" s="1">
        <v>12</v>
      </c>
      <c r="G514" s="1">
        <v>3120</v>
      </c>
      <c r="H514" s="1">
        <v>690</v>
      </c>
      <c r="I514" s="1">
        <v>2430</v>
      </c>
      <c r="J514" s="1">
        <v>1190</v>
      </c>
      <c r="K514" s="1">
        <v>4.9000000000000004</v>
      </c>
      <c r="L514" s="4">
        <f>Table1[[#This Row],[Net Earnings]]-Table1[[#This Row],[Fuel Cost]]</f>
        <v>1240</v>
      </c>
    </row>
    <row r="515" spans="1:12" ht="14.25" customHeight="1" x14ac:dyDescent="0.25">
      <c r="A515" s="3">
        <v>46168</v>
      </c>
      <c r="B515" s="1" t="s">
        <v>36</v>
      </c>
      <c r="C515" s="1" t="s">
        <v>37</v>
      </c>
      <c r="D515" s="1" t="s">
        <v>13</v>
      </c>
      <c r="E515" s="1" t="s">
        <v>51</v>
      </c>
      <c r="F515" s="1">
        <v>17</v>
      </c>
      <c r="G515" s="1">
        <v>3897</v>
      </c>
      <c r="H515" s="1">
        <v>740</v>
      </c>
      <c r="I515" s="1">
        <v>3157</v>
      </c>
      <c r="J515" s="1">
        <v>1130</v>
      </c>
      <c r="K515" s="1">
        <v>4.4000000000000004</v>
      </c>
      <c r="L515" s="4">
        <f>Table1[[#This Row],[Net Earnings]]-Table1[[#This Row],[Fuel Cost]]</f>
        <v>2027</v>
      </c>
    </row>
    <row r="516" spans="1:12" ht="14.25" customHeight="1" x14ac:dyDescent="0.25">
      <c r="A516" s="3">
        <v>46169</v>
      </c>
      <c r="B516" s="1" t="s">
        <v>21</v>
      </c>
      <c r="C516" s="1" t="s">
        <v>22</v>
      </c>
      <c r="D516" s="1" t="s">
        <v>13</v>
      </c>
      <c r="E516" s="1" t="s">
        <v>44</v>
      </c>
      <c r="F516" s="1">
        <v>17</v>
      </c>
      <c r="G516" s="1">
        <v>4563</v>
      </c>
      <c r="H516" s="1">
        <v>1000</v>
      </c>
      <c r="I516" s="1">
        <v>3563</v>
      </c>
      <c r="J516" s="1">
        <v>1260</v>
      </c>
      <c r="K516" s="1">
        <v>4.7</v>
      </c>
      <c r="L516" s="4">
        <f>Table1[[#This Row],[Net Earnings]]-Table1[[#This Row],[Fuel Cost]]</f>
        <v>2303</v>
      </c>
    </row>
    <row r="517" spans="1:12" ht="14.25" customHeight="1" x14ac:dyDescent="0.25">
      <c r="A517" s="3">
        <v>46170</v>
      </c>
      <c r="B517" s="1" t="s">
        <v>42</v>
      </c>
      <c r="C517" s="1" t="s">
        <v>43</v>
      </c>
      <c r="D517" s="1" t="s">
        <v>20</v>
      </c>
      <c r="E517" s="1" t="s">
        <v>26</v>
      </c>
      <c r="F517" s="1">
        <v>25</v>
      </c>
      <c r="G517" s="1">
        <v>6457</v>
      </c>
      <c r="H517" s="1">
        <v>1160</v>
      </c>
      <c r="I517" s="1">
        <v>5297</v>
      </c>
      <c r="J517" s="1">
        <v>1650</v>
      </c>
      <c r="K517" s="1">
        <v>4.5</v>
      </c>
      <c r="L517" s="4">
        <f>Table1[[#This Row],[Net Earnings]]-Table1[[#This Row],[Fuel Cost]]</f>
        <v>3647</v>
      </c>
    </row>
    <row r="518" spans="1:12" ht="14.25" customHeight="1" x14ac:dyDescent="0.25">
      <c r="A518" s="3">
        <v>46171</v>
      </c>
      <c r="B518" s="1" t="s">
        <v>27</v>
      </c>
      <c r="C518" s="1" t="s">
        <v>28</v>
      </c>
      <c r="D518" s="1" t="s">
        <v>14</v>
      </c>
      <c r="E518" s="1" t="s">
        <v>50</v>
      </c>
      <c r="F518" s="1">
        <v>21</v>
      </c>
      <c r="G518" s="1">
        <v>4643</v>
      </c>
      <c r="H518" s="1">
        <v>1020</v>
      </c>
      <c r="I518" s="1">
        <v>3623</v>
      </c>
      <c r="J518" s="1">
        <v>1460</v>
      </c>
      <c r="K518" s="1">
        <v>4.5</v>
      </c>
      <c r="L518" s="4">
        <f>Table1[[#This Row],[Net Earnings]]-Table1[[#This Row],[Fuel Cost]]</f>
        <v>2163</v>
      </c>
    </row>
    <row r="519" spans="1:12" ht="14.25" customHeight="1" x14ac:dyDescent="0.25">
      <c r="A519" s="3">
        <v>46172</v>
      </c>
      <c r="B519" s="1" t="s">
        <v>11</v>
      </c>
      <c r="C519" s="1" t="s">
        <v>12</v>
      </c>
      <c r="D519" s="1" t="s">
        <v>14</v>
      </c>
      <c r="E519" s="1" t="s">
        <v>41</v>
      </c>
      <c r="F519" s="1">
        <v>22</v>
      </c>
      <c r="G519" s="1">
        <v>4718</v>
      </c>
      <c r="H519" s="1">
        <v>900</v>
      </c>
      <c r="I519" s="1">
        <v>3818</v>
      </c>
      <c r="J519" s="1">
        <v>1450</v>
      </c>
      <c r="K519" s="1">
        <v>4.7</v>
      </c>
      <c r="L519" s="4">
        <f>Table1[[#This Row],[Net Earnings]]-Table1[[#This Row],[Fuel Cost]]</f>
        <v>2368</v>
      </c>
    </row>
    <row r="520" spans="1:12" ht="14.25" customHeight="1" x14ac:dyDescent="0.25">
      <c r="A520" s="3">
        <v>46173</v>
      </c>
      <c r="B520" s="1" t="s">
        <v>33</v>
      </c>
      <c r="C520" s="1" t="s">
        <v>34</v>
      </c>
      <c r="D520" s="1" t="s">
        <v>20</v>
      </c>
      <c r="E520" s="1" t="s">
        <v>23</v>
      </c>
      <c r="F520" s="1">
        <v>21</v>
      </c>
      <c r="G520" s="1">
        <v>4878</v>
      </c>
      <c r="H520" s="1">
        <v>980</v>
      </c>
      <c r="I520" s="1">
        <v>3898</v>
      </c>
      <c r="J520" s="1">
        <v>1270</v>
      </c>
      <c r="K520" s="1">
        <v>4.8</v>
      </c>
      <c r="L520" s="4">
        <f>Table1[[#This Row],[Net Earnings]]-Table1[[#This Row],[Fuel Cost]]</f>
        <v>2628</v>
      </c>
    </row>
    <row r="521" spans="1:12" ht="14.25" customHeight="1" x14ac:dyDescent="0.25">
      <c r="A521" s="3">
        <v>46174</v>
      </c>
      <c r="B521" s="1" t="s">
        <v>18</v>
      </c>
      <c r="C521" s="1" t="s">
        <v>19</v>
      </c>
      <c r="D521" s="1" t="s">
        <v>13</v>
      </c>
      <c r="E521" s="1" t="s">
        <v>49</v>
      </c>
      <c r="F521" s="1">
        <v>10</v>
      </c>
      <c r="G521" s="1">
        <v>2323</v>
      </c>
      <c r="H521" s="1">
        <v>460</v>
      </c>
      <c r="I521" s="1">
        <v>1863</v>
      </c>
      <c r="J521" s="1">
        <v>1020</v>
      </c>
      <c r="K521" s="1">
        <v>4.8</v>
      </c>
      <c r="L521" s="4">
        <f>Table1[[#This Row],[Net Earnings]]-Table1[[#This Row],[Fuel Cost]]</f>
        <v>843</v>
      </c>
    </row>
    <row r="522" spans="1:12" ht="14.25" customHeight="1" x14ac:dyDescent="0.25">
      <c r="A522" s="3">
        <v>46175</v>
      </c>
      <c r="B522" s="1" t="s">
        <v>39</v>
      </c>
      <c r="C522" s="1" t="s">
        <v>40</v>
      </c>
      <c r="D522" s="1" t="s">
        <v>13</v>
      </c>
      <c r="E522" s="1" t="s">
        <v>38</v>
      </c>
      <c r="F522" s="1">
        <v>16</v>
      </c>
      <c r="G522" s="1">
        <v>4301</v>
      </c>
      <c r="H522" s="1">
        <v>770</v>
      </c>
      <c r="I522" s="1">
        <v>3531</v>
      </c>
      <c r="J522" s="1">
        <v>1310</v>
      </c>
      <c r="K522" s="1">
        <v>4.4000000000000004</v>
      </c>
      <c r="L522" s="4">
        <f>Table1[[#This Row],[Net Earnings]]-Table1[[#This Row],[Fuel Cost]]</f>
        <v>2221</v>
      </c>
    </row>
    <row r="523" spans="1:12" ht="14.25" customHeight="1" x14ac:dyDescent="0.25">
      <c r="A523" s="3">
        <v>46176</v>
      </c>
      <c r="B523" s="1" t="s">
        <v>24</v>
      </c>
      <c r="C523" s="1" t="s">
        <v>25</v>
      </c>
      <c r="D523" s="1" t="s">
        <v>20</v>
      </c>
      <c r="E523" s="1" t="s">
        <v>13</v>
      </c>
      <c r="F523" s="1">
        <v>24</v>
      </c>
      <c r="G523" s="1">
        <v>6386</v>
      </c>
      <c r="H523" s="1">
        <v>1210</v>
      </c>
      <c r="I523" s="1">
        <v>5176</v>
      </c>
      <c r="J523" s="1">
        <v>1450</v>
      </c>
      <c r="K523" s="1">
        <v>4.9000000000000004</v>
      </c>
      <c r="L523" s="4">
        <f>Table1[[#This Row],[Net Earnings]]-Table1[[#This Row],[Fuel Cost]]</f>
        <v>3726</v>
      </c>
    </row>
    <row r="524" spans="1:12" ht="14.25" customHeight="1" x14ac:dyDescent="0.25">
      <c r="A524" s="3">
        <v>46177</v>
      </c>
      <c r="B524" s="1" t="s">
        <v>45</v>
      </c>
      <c r="C524" s="1" t="s">
        <v>46</v>
      </c>
      <c r="D524" s="1" t="s">
        <v>20</v>
      </c>
      <c r="E524" s="1" t="s">
        <v>48</v>
      </c>
      <c r="F524" s="1">
        <v>20</v>
      </c>
      <c r="G524" s="1">
        <v>4310</v>
      </c>
      <c r="H524" s="1">
        <v>860</v>
      </c>
      <c r="I524" s="1">
        <v>3450</v>
      </c>
      <c r="J524" s="1">
        <v>1480</v>
      </c>
      <c r="K524" s="1">
        <v>4.7</v>
      </c>
      <c r="L524" s="4">
        <f>Table1[[#This Row],[Net Earnings]]-Table1[[#This Row],[Fuel Cost]]</f>
        <v>1970</v>
      </c>
    </row>
    <row r="525" spans="1:12" ht="14.25" customHeight="1" x14ac:dyDescent="0.25">
      <c r="A525" s="3">
        <v>46178</v>
      </c>
      <c r="B525" s="1" t="s">
        <v>30</v>
      </c>
      <c r="C525" s="1" t="s">
        <v>31</v>
      </c>
      <c r="D525" s="1" t="s">
        <v>35</v>
      </c>
      <c r="E525" s="1" t="s">
        <v>20</v>
      </c>
      <c r="F525" s="1">
        <v>21</v>
      </c>
      <c r="G525" s="1">
        <v>4816</v>
      </c>
      <c r="H525" s="1">
        <v>960</v>
      </c>
      <c r="I525" s="1">
        <v>3856</v>
      </c>
      <c r="J525" s="1">
        <v>1300</v>
      </c>
      <c r="K525" s="1">
        <v>4.4000000000000004</v>
      </c>
      <c r="L525" s="4">
        <f>Table1[[#This Row],[Net Earnings]]-Table1[[#This Row],[Fuel Cost]]</f>
        <v>2556</v>
      </c>
    </row>
    <row r="526" spans="1:12" ht="14.25" customHeight="1" x14ac:dyDescent="0.25">
      <c r="A526" s="3">
        <v>46179</v>
      </c>
      <c r="B526" s="1" t="s">
        <v>15</v>
      </c>
      <c r="C526" s="1" t="s">
        <v>16</v>
      </c>
      <c r="D526" s="1" t="s">
        <v>13</v>
      </c>
      <c r="E526" s="1" t="s">
        <v>17</v>
      </c>
      <c r="F526" s="1">
        <v>19</v>
      </c>
      <c r="G526" s="1">
        <v>4068</v>
      </c>
      <c r="H526" s="1">
        <v>810</v>
      </c>
      <c r="I526" s="1">
        <v>3258</v>
      </c>
      <c r="J526" s="1">
        <v>1320</v>
      </c>
      <c r="K526" s="1">
        <v>4.9000000000000004</v>
      </c>
      <c r="L526" s="4">
        <f>Table1[[#This Row],[Net Earnings]]-Table1[[#This Row],[Fuel Cost]]</f>
        <v>1938</v>
      </c>
    </row>
    <row r="527" spans="1:12" ht="14.25" customHeight="1" x14ac:dyDescent="0.25">
      <c r="A527" s="3">
        <v>46180</v>
      </c>
      <c r="B527" s="1" t="s">
        <v>36</v>
      </c>
      <c r="C527" s="1" t="s">
        <v>37</v>
      </c>
      <c r="D527" s="1" t="s">
        <v>14</v>
      </c>
      <c r="E527" s="1" t="s">
        <v>13</v>
      </c>
      <c r="F527" s="1">
        <v>13</v>
      </c>
      <c r="G527" s="1">
        <v>3370</v>
      </c>
      <c r="H527" s="1">
        <v>610</v>
      </c>
      <c r="I527" s="1">
        <v>2760</v>
      </c>
      <c r="J527" s="1">
        <v>1110</v>
      </c>
      <c r="K527" s="1">
        <v>4.8</v>
      </c>
      <c r="L527" s="4">
        <f>Table1[[#This Row],[Net Earnings]]-Table1[[#This Row],[Fuel Cost]]</f>
        <v>1650</v>
      </c>
    </row>
    <row r="528" spans="1:12" ht="14.25" customHeight="1" x14ac:dyDescent="0.25">
      <c r="A528" s="3">
        <v>46181</v>
      </c>
      <c r="B528" s="1" t="s">
        <v>21</v>
      </c>
      <c r="C528" s="1" t="s">
        <v>22</v>
      </c>
      <c r="D528" s="1" t="s">
        <v>14</v>
      </c>
      <c r="E528" s="1" t="s">
        <v>32</v>
      </c>
      <c r="F528" s="1">
        <v>17</v>
      </c>
      <c r="G528" s="1">
        <v>3671</v>
      </c>
      <c r="H528" s="1">
        <v>660</v>
      </c>
      <c r="I528" s="1">
        <v>3011</v>
      </c>
      <c r="J528" s="1">
        <v>1340</v>
      </c>
      <c r="K528" s="1">
        <v>4.8</v>
      </c>
      <c r="L528" s="4">
        <f>Table1[[#This Row],[Net Earnings]]-Table1[[#This Row],[Fuel Cost]]</f>
        <v>1671</v>
      </c>
    </row>
    <row r="529" spans="1:12" ht="14.25" customHeight="1" x14ac:dyDescent="0.25">
      <c r="A529" s="3">
        <v>46182</v>
      </c>
      <c r="B529" s="1" t="s">
        <v>42</v>
      </c>
      <c r="C529" s="1" t="s">
        <v>43</v>
      </c>
      <c r="D529" s="1" t="s">
        <v>13</v>
      </c>
      <c r="E529" s="1" t="s">
        <v>14</v>
      </c>
      <c r="F529" s="1">
        <v>17</v>
      </c>
      <c r="G529" s="1">
        <v>3899</v>
      </c>
      <c r="H529" s="1">
        <v>820</v>
      </c>
      <c r="I529" s="1">
        <v>3079</v>
      </c>
      <c r="J529" s="1">
        <v>1320</v>
      </c>
      <c r="K529" s="1">
        <v>4.4000000000000004</v>
      </c>
      <c r="L529" s="4">
        <f>Table1[[#This Row],[Net Earnings]]-Table1[[#This Row],[Fuel Cost]]</f>
        <v>1759</v>
      </c>
    </row>
    <row r="530" spans="1:12" ht="14.25" customHeight="1" x14ac:dyDescent="0.25">
      <c r="A530" s="3">
        <v>46183</v>
      </c>
      <c r="B530" s="1" t="s">
        <v>27</v>
      </c>
      <c r="C530" s="1" t="s">
        <v>28</v>
      </c>
      <c r="D530" s="1" t="s">
        <v>20</v>
      </c>
      <c r="E530" s="1" t="s">
        <v>47</v>
      </c>
      <c r="F530" s="1">
        <v>17</v>
      </c>
      <c r="G530" s="1">
        <v>4864</v>
      </c>
      <c r="H530" s="1">
        <v>970</v>
      </c>
      <c r="I530" s="1">
        <v>3894</v>
      </c>
      <c r="J530" s="1">
        <v>1280</v>
      </c>
      <c r="K530" s="1">
        <v>4.5999999999999996</v>
      </c>
      <c r="L530" s="4">
        <f>Table1[[#This Row],[Net Earnings]]-Table1[[#This Row],[Fuel Cost]]</f>
        <v>2614</v>
      </c>
    </row>
    <row r="531" spans="1:12" ht="14.25" customHeight="1" x14ac:dyDescent="0.25">
      <c r="A531" s="3">
        <v>46184</v>
      </c>
      <c r="B531" s="1" t="s">
        <v>11</v>
      </c>
      <c r="C531" s="1" t="s">
        <v>12</v>
      </c>
      <c r="D531" s="1" t="s">
        <v>20</v>
      </c>
      <c r="E531" s="1" t="s">
        <v>29</v>
      </c>
      <c r="F531" s="1">
        <v>15</v>
      </c>
      <c r="G531" s="1">
        <v>3561</v>
      </c>
      <c r="H531" s="1">
        <v>710</v>
      </c>
      <c r="I531" s="1">
        <v>2851</v>
      </c>
      <c r="J531" s="1">
        <v>1140</v>
      </c>
      <c r="K531" s="1">
        <v>4.5999999999999996</v>
      </c>
      <c r="L531" s="4">
        <f>Table1[[#This Row],[Net Earnings]]-Table1[[#This Row],[Fuel Cost]]</f>
        <v>1711</v>
      </c>
    </row>
    <row r="532" spans="1:12" ht="14.25" customHeight="1" x14ac:dyDescent="0.25">
      <c r="A532" s="3">
        <v>46155</v>
      </c>
      <c r="B532" s="1" t="s">
        <v>33</v>
      </c>
      <c r="C532" s="1" t="s">
        <v>34</v>
      </c>
      <c r="D532" s="1" t="s">
        <v>13</v>
      </c>
      <c r="E532" s="1" t="s">
        <v>51</v>
      </c>
      <c r="F532" s="1">
        <v>16</v>
      </c>
      <c r="G532" s="1">
        <v>4330</v>
      </c>
      <c r="H532" s="1">
        <v>950</v>
      </c>
      <c r="I532" s="1">
        <v>3380</v>
      </c>
      <c r="J532" s="1">
        <v>1180</v>
      </c>
      <c r="K532" s="1">
        <v>4.5999999999999996</v>
      </c>
      <c r="L532" s="4">
        <f>Table1[[#This Row],[Net Earnings]]-Table1[[#This Row],[Fuel Cost]]</f>
        <v>2200</v>
      </c>
    </row>
    <row r="533" spans="1:12" ht="14.25" customHeight="1" x14ac:dyDescent="0.25">
      <c r="A533" s="3">
        <v>46156</v>
      </c>
      <c r="B533" s="1" t="s">
        <v>18</v>
      </c>
      <c r="C533" s="1" t="s">
        <v>19</v>
      </c>
      <c r="D533" s="1" t="s">
        <v>13</v>
      </c>
      <c r="E533" s="1" t="s">
        <v>44</v>
      </c>
      <c r="F533" s="1">
        <v>15</v>
      </c>
      <c r="G533" s="1">
        <v>3773</v>
      </c>
      <c r="H533" s="1">
        <v>750</v>
      </c>
      <c r="I533" s="1">
        <v>3023</v>
      </c>
      <c r="J533" s="1">
        <v>1120</v>
      </c>
      <c r="K533" s="1">
        <v>4.3</v>
      </c>
      <c r="L533" s="4">
        <f>Table1[[#This Row],[Net Earnings]]-Table1[[#This Row],[Fuel Cost]]</f>
        <v>1903</v>
      </c>
    </row>
    <row r="534" spans="1:12" ht="14.25" customHeight="1" x14ac:dyDescent="0.25">
      <c r="A534" s="3">
        <v>46157</v>
      </c>
      <c r="B534" s="1" t="s">
        <v>39</v>
      </c>
      <c r="C534" s="1" t="s">
        <v>40</v>
      </c>
      <c r="D534" s="1" t="s">
        <v>20</v>
      </c>
      <c r="E534" s="1" t="s">
        <v>26</v>
      </c>
      <c r="F534" s="1">
        <v>17</v>
      </c>
      <c r="G534" s="1">
        <v>3572</v>
      </c>
      <c r="H534" s="1">
        <v>680</v>
      </c>
      <c r="I534" s="1">
        <v>2892</v>
      </c>
      <c r="J534" s="1">
        <v>1400</v>
      </c>
      <c r="K534" s="1">
        <v>4.8</v>
      </c>
      <c r="L534" s="4">
        <f>Table1[[#This Row],[Net Earnings]]-Table1[[#This Row],[Fuel Cost]]</f>
        <v>1492</v>
      </c>
    </row>
    <row r="535" spans="1:12" ht="14.25" customHeight="1" x14ac:dyDescent="0.25">
      <c r="A535" s="3">
        <v>46158</v>
      </c>
      <c r="B535" s="1" t="s">
        <v>24</v>
      </c>
      <c r="C535" s="1" t="s">
        <v>25</v>
      </c>
      <c r="D535" s="1" t="s">
        <v>14</v>
      </c>
      <c r="E535" s="1" t="s">
        <v>50</v>
      </c>
      <c r="F535" s="1">
        <v>13</v>
      </c>
      <c r="G535" s="1">
        <v>3689</v>
      </c>
      <c r="H535" s="1">
        <v>700</v>
      </c>
      <c r="I535" s="1">
        <v>2989</v>
      </c>
      <c r="J535" s="1">
        <v>1300</v>
      </c>
      <c r="K535" s="1">
        <v>4.7</v>
      </c>
      <c r="L535" s="4">
        <f>Table1[[#This Row],[Net Earnings]]-Table1[[#This Row],[Fuel Cost]]</f>
        <v>1689</v>
      </c>
    </row>
    <row r="536" spans="1:12" ht="14.25" customHeight="1" x14ac:dyDescent="0.25">
      <c r="A536" s="3">
        <v>46159</v>
      </c>
      <c r="B536" s="1" t="s">
        <v>45</v>
      </c>
      <c r="C536" s="1" t="s">
        <v>46</v>
      </c>
      <c r="D536" s="1" t="s">
        <v>14</v>
      </c>
      <c r="E536" s="1" t="s">
        <v>41</v>
      </c>
      <c r="F536" s="1">
        <v>23</v>
      </c>
      <c r="G536" s="1">
        <v>4888</v>
      </c>
      <c r="H536" s="1">
        <v>1030</v>
      </c>
      <c r="I536" s="1">
        <v>3858</v>
      </c>
      <c r="J536" s="1">
        <v>1550</v>
      </c>
      <c r="K536" s="1">
        <v>4.4000000000000004</v>
      </c>
      <c r="L536" s="4">
        <f>Table1[[#This Row],[Net Earnings]]-Table1[[#This Row],[Fuel Cost]]</f>
        <v>2308</v>
      </c>
    </row>
    <row r="537" spans="1:12" ht="14.25" customHeight="1" x14ac:dyDescent="0.25">
      <c r="A537" s="3">
        <v>46160</v>
      </c>
      <c r="B537" s="1" t="s">
        <v>30</v>
      </c>
      <c r="C537" s="1" t="s">
        <v>31</v>
      </c>
      <c r="D537" s="1" t="s">
        <v>20</v>
      </c>
      <c r="E537" s="1" t="s">
        <v>23</v>
      </c>
      <c r="F537" s="1">
        <v>28</v>
      </c>
      <c r="G537" s="1">
        <v>6457</v>
      </c>
      <c r="H537" s="1">
        <v>1290</v>
      </c>
      <c r="I537" s="1">
        <v>5167</v>
      </c>
      <c r="J537" s="1">
        <v>1550</v>
      </c>
      <c r="K537" s="1">
        <v>4.7</v>
      </c>
      <c r="L537" s="4">
        <f>Table1[[#This Row],[Net Earnings]]-Table1[[#This Row],[Fuel Cost]]</f>
        <v>3617</v>
      </c>
    </row>
    <row r="538" spans="1:12" ht="14.25" customHeight="1" x14ac:dyDescent="0.25">
      <c r="A538" s="3">
        <v>46161</v>
      </c>
      <c r="B538" s="1" t="s">
        <v>15</v>
      </c>
      <c r="C538" s="1" t="s">
        <v>16</v>
      </c>
      <c r="D538" s="1" t="s">
        <v>13</v>
      </c>
      <c r="E538" s="1" t="s">
        <v>49</v>
      </c>
      <c r="F538" s="1">
        <v>19</v>
      </c>
      <c r="G538" s="1">
        <v>4361</v>
      </c>
      <c r="H538" s="1">
        <v>830</v>
      </c>
      <c r="I538" s="1">
        <v>3531</v>
      </c>
      <c r="J538" s="1">
        <v>1250</v>
      </c>
      <c r="K538" s="1">
        <v>4.5</v>
      </c>
      <c r="L538" s="4">
        <f>Table1[[#This Row],[Net Earnings]]-Table1[[#This Row],[Fuel Cost]]</f>
        <v>2281</v>
      </c>
    </row>
    <row r="539" spans="1:12" ht="14.25" customHeight="1" x14ac:dyDescent="0.25">
      <c r="A539" s="3">
        <v>46162</v>
      </c>
      <c r="B539" s="1" t="s">
        <v>36</v>
      </c>
      <c r="C539" s="1" t="s">
        <v>37</v>
      </c>
      <c r="D539" s="1" t="s">
        <v>13</v>
      </c>
      <c r="E539" s="1" t="s">
        <v>38</v>
      </c>
      <c r="F539" s="1">
        <v>25</v>
      </c>
      <c r="G539" s="1">
        <v>5896</v>
      </c>
      <c r="H539" s="1">
        <v>1300</v>
      </c>
      <c r="I539" s="1">
        <v>4596</v>
      </c>
      <c r="J539" s="1">
        <v>1790</v>
      </c>
      <c r="K539" s="1">
        <v>4.8</v>
      </c>
      <c r="L539" s="4">
        <f>Table1[[#This Row],[Net Earnings]]-Table1[[#This Row],[Fuel Cost]]</f>
        <v>2806</v>
      </c>
    </row>
    <row r="540" spans="1:12" ht="14.25" customHeight="1" x14ac:dyDescent="0.25">
      <c r="A540" s="3">
        <v>46163</v>
      </c>
      <c r="B540" s="1" t="s">
        <v>21</v>
      </c>
      <c r="C540" s="1" t="s">
        <v>22</v>
      </c>
      <c r="D540" s="1" t="s">
        <v>20</v>
      </c>
      <c r="E540" s="1" t="s">
        <v>13</v>
      </c>
      <c r="F540" s="1">
        <v>13</v>
      </c>
      <c r="G540" s="1">
        <v>3294</v>
      </c>
      <c r="H540" s="1">
        <v>660</v>
      </c>
      <c r="I540" s="1">
        <v>2634</v>
      </c>
      <c r="J540" s="1">
        <v>1140</v>
      </c>
      <c r="K540" s="1">
        <v>4.9000000000000004</v>
      </c>
      <c r="L540" s="4">
        <f>Table1[[#This Row],[Net Earnings]]-Table1[[#This Row],[Fuel Cost]]</f>
        <v>1494</v>
      </c>
    </row>
    <row r="541" spans="1:12" ht="14.25" customHeight="1" x14ac:dyDescent="0.25">
      <c r="A541" s="3">
        <v>46164</v>
      </c>
      <c r="B541" s="1" t="s">
        <v>42</v>
      </c>
      <c r="C541" s="1" t="s">
        <v>43</v>
      </c>
      <c r="D541" s="1" t="s">
        <v>20</v>
      </c>
      <c r="E541" s="1" t="s">
        <v>48</v>
      </c>
      <c r="F541" s="1">
        <v>11</v>
      </c>
      <c r="G541" s="1">
        <v>2995</v>
      </c>
      <c r="H541" s="1">
        <v>540</v>
      </c>
      <c r="I541" s="1">
        <v>2455</v>
      </c>
      <c r="J541" s="1">
        <v>1140</v>
      </c>
      <c r="K541" s="1">
        <v>4.7</v>
      </c>
      <c r="L541" s="4">
        <f>Table1[[#This Row],[Net Earnings]]-Table1[[#This Row],[Fuel Cost]]</f>
        <v>1315</v>
      </c>
    </row>
    <row r="542" spans="1:12" ht="14.25" customHeight="1" x14ac:dyDescent="0.25">
      <c r="A542" s="3">
        <v>46165</v>
      </c>
      <c r="B542" s="1" t="s">
        <v>27</v>
      </c>
      <c r="C542" s="1" t="s">
        <v>28</v>
      </c>
      <c r="D542" s="1" t="s">
        <v>35</v>
      </c>
      <c r="E542" s="1" t="s">
        <v>20</v>
      </c>
      <c r="F542" s="1">
        <v>25</v>
      </c>
      <c r="G542" s="1">
        <v>6092</v>
      </c>
      <c r="H542" s="1">
        <v>1100</v>
      </c>
      <c r="I542" s="1">
        <v>4992</v>
      </c>
      <c r="J542" s="1">
        <v>1680</v>
      </c>
      <c r="K542" s="1">
        <v>4.4000000000000004</v>
      </c>
      <c r="L542" s="4">
        <f>Table1[[#This Row],[Net Earnings]]-Table1[[#This Row],[Fuel Cost]]</f>
        <v>3312</v>
      </c>
    </row>
    <row r="543" spans="1:12" ht="14.25" customHeight="1" x14ac:dyDescent="0.25">
      <c r="A543" s="3">
        <v>46166</v>
      </c>
      <c r="B543" s="1" t="s">
        <v>11</v>
      </c>
      <c r="C543" s="1" t="s">
        <v>12</v>
      </c>
      <c r="D543" s="1" t="s">
        <v>13</v>
      </c>
      <c r="E543" s="1" t="s">
        <v>17</v>
      </c>
      <c r="F543" s="1">
        <v>20</v>
      </c>
      <c r="G543" s="1">
        <v>4718</v>
      </c>
      <c r="H543" s="1">
        <v>990</v>
      </c>
      <c r="I543" s="1">
        <v>3728</v>
      </c>
      <c r="J543" s="1">
        <v>1380</v>
      </c>
      <c r="K543" s="1">
        <v>4.3</v>
      </c>
      <c r="L543" s="4">
        <f>Table1[[#This Row],[Net Earnings]]-Table1[[#This Row],[Fuel Cost]]</f>
        <v>2348</v>
      </c>
    </row>
    <row r="544" spans="1:12" ht="14.25" customHeight="1" x14ac:dyDescent="0.25">
      <c r="A544" s="3">
        <v>46167</v>
      </c>
      <c r="B544" s="1" t="s">
        <v>33</v>
      </c>
      <c r="C544" s="1" t="s">
        <v>34</v>
      </c>
      <c r="D544" s="1" t="s">
        <v>14</v>
      </c>
      <c r="E544" s="1" t="s">
        <v>13</v>
      </c>
      <c r="F544" s="1">
        <v>12</v>
      </c>
      <c r="G544" s="1">
        <v>3081</v>
      </c>
      <c r="H544" s="1">
        <v>550</v>
      </c>
      <c r="I544" s="1">
        <v>2531</v>
      </c>
      <c r="J544" s="1">
        <v>1200</v>
      </c>
      <c r="K544" s="1">
        <v>4.8</v>
      </c>
      <c r="L544" s="4">
        <f>Table1[[#This Row],[Net Earnings]]-Table1[[#This Row],[Fuel Cost]]</f>
        <v>1331</v>
      </c>
    </row>
    <row r="545" spans="1:12" ht="14.25" customHeight="1" x14ac:dyDescent="0.25">
      <c r="A545" s="3">
        <v>46168</v>
      </c>
      <c r="B545" s="1" t="s">
        <v>18</v>
      </c>
      <c r="C545" s="1" t="s">
        <v>19</v>
      </c>
      <c r="D545" s="1" t="s">
        <v>14</v>
      </c>
      <c r="E545" s="1" t="s">
        <v>32</v>
      </c>
      <c r="F545" s="1">
        <v>26</v>
      </c>
      <c r="G545" s="1">
        <v>6262</v>
      </c>
      <c r="H545" s="1">
        <v>1190</v>
      </c>
      <c r="I545" s="1">
        <v>5072</v>
      </c>
      <c r="J545" s="1">
        <v>1620</v>
      </c>
      <c r="K545" s="1">
        <v>4.7</v>
      </c>
      <c r="L545" s="4">
        <f>Table1[[#This Row],[Net Earnings]]-Table1[[#This Row],[Fuel Cost]]</f>
        <v>3452</v>
      </c>
    </row>
    <row r="546" spans="1:12" ht="14.25" customHeight="1" x14ac:dyDescent="0.25">
      <c r="A546" s="3">
        <v>46169</v>
      </c>
      <c r="B546" s="1" t="s">
        <v>39</v>
      </c>
      <c r="C546" s="1" t="s">
        <v>40</v>
      </c>
      <c r="D546" s="1" t="s">
        <v>13</v>
      </c>
      <c r="E546" s="1" t="s">
        <v>14</v>
      </c>
      <c r="F546" s="1">
        <v>23</v>
      </c>
      <c r="G546" s="1">
        <v>5341</v>
      </c>
      <c r="H546" s="1">
        <v>960</v>
      </c>
      <c r="I546" s="1">
        <v>4381</v>
      </c>
      <c r="J546" s="1">
        <v>1440</v>
      </c>
      <c r="K546" s="1">
        <v>4.4000000000000004</v>
      </c>
      <c r="L546" s="4">
        <f>Table1[[#This Row],[Net Earnings]]-Table1[[#This Row],[Fuel Cost]]</f>
        <v>2941</v>
      </c>
    </row>
    <row r="547" spans="1:12" ht="14.25" customHeight="1" x14ac:dyDescent="0.25">
      <c r="A547" s="3">
        <v>46170</v>
      </c>
      <c r="B547" s="1" t="s">
        <v>24</v>
      </c>
      <c r="C547" s="1" t="s">
        <v>25</v>
      </c>
      <c r="D547" s="1" t="s">
        <v>20</v>
      </c>
      <c r="E547" s="1" t="s">
        <v>47</v>
      </c>
      <c r="F547" s="1">
        <v>14</v>
      </c>
      <c r="G547" s="1">
        <v>3029</v>
      </c>
      <c r="H547" s="1">
        <v>610</v>
      </c>
      <c r="I547" s="1">
        <v>2419</v>
      </c>
      <c r="J547" s="1">
        <v>1180</v>
      </c>
      <c r="K547" s="1">
        <v>4.4000000000000004</v>
      </c>
      <c r="L547" s="4">
        <f>Table1[[#This Row],[Net Earnings]]-Table1[[#This Row],[Fuel Cost]]</f>
        <v>1239</v>
      </c>
    </row>
    <row r="548" spans="1:12" ht="14.25" customHeight="1" x14ac:dyDescent="0.25">
      <c r="A548" s="3">
        <v>46171</v>
      </c>
      <c r="B548" s="1" t="s">
        <v>45</v>
      </c>
      <c r="C548" s="1" t="s">
        <v>46</v>
      </c>
      <c r="D548" s="1" t="s">
        <v>20</v>
      </c>
      <c r="E548" s="1" t="s">
        <v>29</v>
      </c>
      <c r="F548" s="1">
        <v>21</v>
      </c>
      <c r="G548" s="1">
        <v>5591</v>
      </c>
      <c r="H548" s="1">
        <v>1010</v>
      </c>
      <c r="I548" s="1">
        <v>4581</v>
      </c>
      <c r="J548" s="1">
        <v>1280</v>
      </c>
      <c r="K548" s="1">
        <v>4.9000000000000004</v>
      </c>
      <c r="L548" s="4">
        <f>Table1[[#This Row],[Net Earnings]]-Table1[[#This Row],[Fuel Cost]]</f>
        <v>3301</v>
      </c>
    </row>
    <row r="549" spans="1:12" ht="14.25" customHeight="1" x14ac:dyDescent="0.25">
      <c r="A549" s="3">
        <v>46172</v>
      </c>
      <c r="B549" s="1" t="s">
        <v>30</v>
      </c>
      <c r="C549" s="1" t="s">
        <v>31</v>
      </c>
      <c r="D549" s="1" t="s">
        <v>13</v>
      </c>
      <c r="E549" s="1" t="s">
        <v>51</v>
      </c>
      <c r="F549" s="1">
        <v>23</v>
      </c>
      <c r="G549" s="1">
        <v>5500</v>
      </c>
      <c r="H549" s="1">
        <v>990</v>
      </c>
      <c r="I549" s="1">
        <v>4510</v>
      </c>
      <c r="J549" s="1">
        <v>1530</v>
      </c>
      <c r="K549" s="1">
        <v>4.4000000000000004</v>
      </c>
      <c r="L549" s="4">
        <f>Table1[[#This Row],[Net Earnings]]-Table1[[#This Row],[Fuel Cost]]</f>
        <v>2980</v>
      </c>
    </row>
    <row r="550" spans="1:12" ht="14.25" customHeight="1" x14ac:dyDescent="0.25">
      <c r="A550" s="3">
        <v>46173</v>
      </c>
      <c r="B550" s="1" t="s">
        <v>15</v>
      </c>
      <c r="C550" s="1" t="s">
        <v>16</v>
      </c>
      <c r="D550" s="1" t="s">
        <v>13</v>
      </c>
      <c r="E550" s="1" t="s">
        <v>44</v>
      </c>
      <c r="F550" s="1">
        <v>17</v>
      </c>
      <c r="G550" s="1">
        <v>4355</v>
      </c>
      <c r="H550" s="1">
        <v>830</v>
      </c>
      <c r="I550" s="1">
        <v>3525</v>
      </c>
      <c r="J550" s="1">
        <v>1220</v>
      </c>
      <c r="K550" s="1">
        <v>4.4000000000000004</v>
      </c>
      <c r="L550" s="4">
        <f>Table1[[#This Row],[Net Earnings]]-Table1[[#This Row],[Fuel Cost]]</f>
        <v>2305</v>
      </c>
    </row>
    <row r="551" spans="1:12" ht="14.25" customHeight="1" x14ac:dyDescent="0.25">
      <c r="A551" s="3">
        <v>46174</v>
      </c>
      <c r="B551" s="1" t="s">
        <v>36</v>
      </c>
      <c r="C551" s="1" t="s">
        <v>37</v>
      </c>
      <c r="D551" s="1" t="s">
        <v>20</v>
      </c>
      <c r="E551" s="1" t="s">
        <v>26</v>
      </c>
      <c r="F551" s="1">
        <v>18</v>
      </c>
      <c r="G551" s="1">
        <v>4355</v>
      </c>
      <c r="H551" s="1">
        <v>780</v>
      </c>
      <c r="I551" s="1">
        <v>3575</v>
      </c>
      <c r="J551" s="1">
        <v>1350</v>
      </c>
      <c r="K551" s="1">
        <v>4.7</v>
      </c>
      <c r="L551" s="4">
        <f>Table1[[#This Row],[Net Earnings]]-Table1[[#This Row],[Fuel Cost]]</f>
        <v>2225</v>
      </c>
    </row>
    <row r="552" spans="1:12" ht="14.25" customHeight="1" x14ac:dyDescent="0.25">
      <c r="A552" s="3">
        <v>46175</v>
      </c>
      <c r="B552" s="1" t="s">
        <v>21</v>
      </c>
      <c r="C552" s="1" t="s">
        <v>22</v>
      </c>
      <c r="D552" s="1" t="s">
        <v>14</v>
      </c>
      <c r="E552" s="1" t="s">
        <v>50</v>
      </c>
      <c r="F552" s="1">
        <v>22</v>
      </c>
      <c r="G552" s="1">
        <v>5428</v>
      </c>
      <c r="H552" s="1">
        <v>1090</v>
      </c>
      <c r="I552" s="1">
        <v>4338</v>
      </c>
      <c r="J552" s="1">
        <v>1350</v>
      </c>
      <c r="K552" s="1">
        <v>4.4000000000000004</v>
      </c>
      <c r="L552" s="4">
        <f>Table1[[#This Row],[Net Earnings]]-Table1[[#This Row],[Fuel Cost]]</f>
        <v>2988</v>
      </c>
    </row>
    <row r="553" spans="1:12" ht="14.25" customHeight="1" x14ac:dyDescent="0.25">
      <c r="A553" s="3">
        <v>46176</v>
      </c>
      <c r="B553" s="1" t="s">
        <v>42</v>
      </c>
      <c r="C553" s="1" t="s">
        <v>43</v>
      </c>
      <c r="D553" s="1" t="s">
        <v>14</v>
      </c>
      <c r="E553" s="1" t="s">
        <v>41</v>
      </c>
      <c r="F553" s="1">
        <v>19</v>
      </c>
      <c r="G553" s="1">
        <v>4844</v>
      </c>
      <c r="H553" s="1">
        <v>1020</v>
      </c>
      <c r="I553" s="1">
        <v>3824</v>
      </c>
      <c r="J553" s="1">
        <v>1290</v>
      </c>
      <c r="K553" s="1">
        <v>4.5</v>
      </c>
      <c r="L553" s="4">
        <f>Table1[[#This Row],[Net Earnings]]-Table1[[#This Row],[Fuel Cost]]</f>
        <v>2534</v>
      </c>
    </row>
    <row r="554" spans="1:12" ht="14.25" customHeight="1" x14ac:dyDescent="0.25">
      <c r="A554" s="3">
        <v>46177</v>
      </c>
      <c r="B554" s="1" t="s">
        <v>27</v>
      </c>
      <c r="C554" s="1" t="s">
        <v>28</v>
      </c>
      <c r="D554" s="1" t="s">
        <v>20</v>
      </c>
      <c r="E554" s="1" t="s">
        <v>23</v>
      </c>
      <c r="F554" s="1">
        <v>15</v>
      </c>
      <c r="G554" s="1">
        <v>3263</v>
      </c>
      <c r="H554" s="1">
        <v>720</v>
      </c>
      <c r="I554" s="1">
        <v>2543</v>
      </c>
      <c r="J554" s="1">
        <v>1190</v>
      </c>
      <c r="K554" s="1">
        <v>4.9000000000000004</v>
      </c>
      <c r="L554" s="4">
        <f>Table1[[#This Row],[Net Earnings]]-Table1[[#This Row],[Fuel Cost]]</f>
        <v>1353</v>
      </c>
    </row>
    <row r="555" spans="1:12" ht="14.25" customHeight="1" x14ac:dyDescent="0.25">
      <c r="A555" s="3">
        <v>46178</v>
      </c>
      <c r="B555" s="1" t="s">
        <v>11</v>
      </c>
      <c r="C555" s="1" t="s">
        <v>12</v>
      </c>
      <c r="D555" s="1" t="s">
        <v>13</v>
      </c>
      <c r="E555" s="1" t="s">
        <v>49</v>
      </c>
      <c r="F555" s="1">
        <v>12</v>
      </c>
      <c r="G555" s="1">
        <v>3295</v>
      </c>
      <c r="H555" s="1">
        <v>590</v>
      </c>
      <c r="I555" s="1">
        <v>2705</v>
      </c>
      <c r="J555" s="1">
        <v>1140</v>
      </c>
      <c r="K555" s="1">
        <v>4.3</v>
      </c>
      <c r="L555" s="4">
        <f>Table1[[#This Row],[Net Earnings]]-Table1[[#This Row],[Fuel Cost]]</f>
        <v>1565</v>
      </c>
    </row>
    <row r="556" spans="1:12" ht="14.25" customHeight="1" x14ac:dyDescent="0.25">
      <c r="A556" s="3">
        <v>46179</v>
      </c>
      <c r="B556" s="1" t="s">
        <v>33</v>
      </c>
      <c r="C556" s="1" t="s">
        <v>34</v>
      </c>
      <c r="D556" s="1" t="s">
        <v>13</v>
      </c>
      <c r="E556" s="1" t="s">
        <v>38</v>
      </c>
      <c r="F556" s="1">
        <v>11</v>
      </c>
      <c r="G556" s="1">
        <v>3084</v>
      </c>
      <c r="H556" s="1">
        <v>560</v>
      </c>
      <c r="I556" s="1">
        <v>2524</v>
      </c>
      <c r="J556" s="1">
        <v>1170</v>
      </c>
      <c r="K556" s="1">
        <v>4.5</v>
      </c>
      <c r="L556" s="4">
        <f>Table1[[#This Row],[Net Earnings]]-Table1[[#This Row],[Fuel Cost]]</f>
        <v>1354</v>
      </c>
    </row>
    <row r="557" spans="1:12" ht="14.25" customHeight="1" x14ac:dyDescent="0.25">
      <c r="A557" s="3">
        <v>46180</v>
      </c>
      <c r="B557" s="1" t="s">
        <v>18</v>
      </c>
      <c r="C557" s="1" t="s">
        <v>19</v>
      </c>
      <c r="D557" s="1" t="s">
        <v>20</v>
      </c>
      <c r="E557" s="1" t="s">
        <v>13</v>
      </c>
      <c r="F557" s="1">
        <v>18</v>
      </c>
      <c r="G557" s="1">
        <v>4437</v>
      </c>
      <c r="H557" s="1">
        <v>890</v>
      </c>
      <c r="I557" s="1">
        <v>3547</v>
      </c>
      <c r="J557" s="1">
        <v>1280</v>
      </c>
      <c r="K557" s="1">
        <v>4.4000000000000004</v>
      </c>
      <c r="L557" s="4">
        <f>Table1[[#This Row],[Net Earnings]]-Table1[[#This Row],[Fuel Cost]]</f>
        <v>2267</v>
      </c>
    </row>
    <row r="558" spans="1:12" ht="14.25" customHeight="1" x14ac:dyDescent="0.25">
      <c r="A558" s="3">
        <v>46181</v>
      </c>
      <c r="B558" s="1" t="s">
        <v>39</v>
      </c>
      <c r="C558" s="1" t="s">
        <v>40</v>
      </c>
      <c r="D558" s="1" t="s">
        <v>20</v>
      </c>
      <c r="E558" s="1" t="s">
        <v>48</v>
      </c>
      <c r="F558" s="1">
        <v>22</v>
      </c>
      <c r="G558" s="1">
        <v>5619</v>
      </c>
      <c r="H558" s="1">
        <v>1240</v>
      </c>
      <c r="I558" s="1">
        <v>4379</v>
      </c>
      <c r="J558" s="1">
        <v>1510</v>
      </c>
      <c r="K558" s="1">
        <v>4.4000000000000004</v>
      </c>
      <c r="L558" s="4">
        <f>Table1[[#This Row],[Net Earnings]]-Table1[[#This Row],[Fuel Cost]]</f>
        <v>2869</v>
      </c>
    </row>
    <row r="559" spans="1:12" ht="14.25" customHeight="1" x14ac:dyDescent="0.25">
      <c r="A559" s="3">
        <v>46182</v>
      </c>
      <c r="B559" s="1" t="s">
        <v>24</v>
      </c>
      <c r="C559" s="1" t="s">
        <v>25</v>
      </c>
      <c r="D559" s="1" t="s">
        <v>35</v>
      </c>
      <c r="E559" s="1" t="s">
        <v>20</v>
      </c>
      <c r="F559" s="1">
        <v>10</v>
      </c>
      <c r="G559" s="1">
        <v>2495</v>
      </c>
      <c r="H559" s="1">
        <v>500</v>
      </c>
      <c r="I559" s="1">
        <v>1995</v>
      </c>
      <c r="J559" s="1">
        <v>950</v>
      </c>
      <c r="K559" s="1">
        <v>4.5</v>
      </c>
      <c r="L559" s="4">
        <f>Table1[[#This Row],[Net Earnings]]-Table1[[#This Row],[Fuel Cost]]</f>
        <v>1045</v>
      </c>
    </row>
    <row r="560" spans="1:12" ht="14.25" customHeight="1" x14ac:dyDescent="0.25">
      <c r="A560" s="3">
        <v>46183</v>
      </c>
      <c r="B560" s="1" t="s">
        <v>45</v>
      </c>
      <c r="C560" s="1" t="s">
        <v>46</v>
      </c>
      <c r="D560" s="1" t="s">
        <v>13</v>
      </c>
      <c r="E560" s="1" t="s">
        <v>17</v>
      </c>
      <c r="F560" s="1">
        <v>18</v>
      </c>
      <c r="G560" s="1">
        <v>3805</v>
      </c>
      <c r="H560" s="1">
        <v>680</v>
      </c>
      <c r="I560" s="1">
        <v>3125</v>
      </c>
      <c r="J560" s="1">
        <v>1480</v>
      </c>
      <c r="K560" s="1">
        <v>4.5999999999999996</v>
      </c>
      <c r="L560" s="4">
        <f>Table1[[#This Row],[Net Earnings]]-Table1[[#This Row],[Fuel Cost]]</f>
        <v>1645</v>
      </c>
    </row>
    <row r="561" spans="1:12" ht="14.25" customHeight="1" x14ac:dyDescent="0.25">
      <c r="A561" s="3">
        <v>46184</v>
      </c>
      <c r="B561" s="1" t="s">
        <v>30</v>
      </c>
      <c r="C561" s="1" t="s">
        <v>31</v>
      </c>
      <c r="D561" s="1" t="s">
        <v>14</v>
      </c>
      <c r="E561" s="1" t="s">
        <v>13</v>
      </c>
      <c r="F561" s="1">
        <v>27</v>
      </c>
      <c r="G561" s="1">
        <v>7287</v>
      </c>
      <c r="H561" s="1">
        <v>1380</v>
      </c>
      <c r="I561" s="1">
        <v>5907</v>
      </c>
      <c r="J561" s="1">
        <v>1420</v>
      </c>
      <c r="K561" s="1">
        <v>4.4000000000000004</v>
      </c>
      <c r="L561" s="4">
        <f>Table1[[#This Row],[Net Earnings]]-Table1[[#This Row],[Fuel Cost]]</f>
        <v>4487</v>
      </c>
    </row>
    <row r="562" spans="1:12" ht="14.25" customHeight="1" x14ac:dyDescent="0.25">
      <c r="A562" s="3">
        <v>46155</v>
      </c>
      <c r="B562" s="1" t="s">
        <v>15</v>
      </c>
      <c r="C562" s="1" t="s">
        <v>16</v>
      </c>
      <c r="D562" s="1" t="s">
        <v>14</v>
      </c>
      <c r="E562" s="1" t="s">
        <v>32</v>
      </c>
      <c r="F562" s="1">
        <v>10</v>
      </c>
      <c r="G562" s="1">
        <v>2346</v>
      </c>
      <c r="H562" s="1">
        <v>450</v>
      </c>
      <c r="I562" s="1">
        <v>1896</v>
      </c>
      <c r="J562" s="1">
        <v>1070</v>
      </c>
      <c r="K562" s="1">
        <v>4.8</v>
      </c>
      <c r="L562" s="4">
        <f>Table1[[#This Row],[Net Earnings]]-Table1[[#This Row],[Fuel Cost]]</f>
        <v>826</v>
      </c>
    </row>
    <row r="563" spans="1:12" ht="14.25" customHeight="1" x14ac:dyDescent="0.25">
      <c r="A563" s="3">
        <v>46156</v>
      </c>
      <c r="B563" s="1" t="s">
        <v>36</v>
      </c>
      <c r="C563" s="1" t="s">
        <v>37</v>
      </c>
      <c r="D563" s="1" t="s">
        <v>13</v>
      </c>
      <c r="E563" s="1" t="s">
        <v>14</v>
      </c>
      <c r="F563" s="1">
        <v>28</v>
      </c>
      <c r="G563" s="1">
        <v>7294</v>
      </c>
      <c r="H563" s="1">
        <v>1310</v>
      </c>
      <c r="I563" s="1">
        <v>5984</v>
      </c>
      <c r="J563" s="1">
        <v>1560</v>
      </c>
      <c r="K563" s="1">
        <v>4.9000000000000004</v>
      </c>
      <c r="L563" s="4">
        <f>Table1[[#This Row],[Net Earnings]]-Table1[[#This Row],[Fuel Cost]]</f>
        <v>4424</v>
      </c>
    </row>
    <row r="564" spans="1:12" ht="14.25" customHeight="1" x14ac:dyDescent="0.25">
      <c r="A564" s="3">
        <v>46157</v>
      </c>
      <c r="B564" s="1" t="s">
        <v>21</v>
      </c>
      <c r="C564" s="1" t="s">
        <v>22</v>
      </c>
      <c r="D564" s="1" t="s">
        <v>20</v>
      </c>
      <c r="E564" s="1" t="s">
        <v>47</v>
      </c>
      <c r="F564" s="1">
        <v>13</v>
      </c>
      <c r="G564" s="1">
        <v>3112</v>
      </c>
      <c r="H564" s="1">
        <v>620</v>
      </c>
      <c r="I564" s="1">
        <v>2492</v>
      </c>
      <c r="J564" s="1">
        <v>1180</v>
      </c>
      <c r="K564" s="1">
        <v>4.5999999999999996</v>
      </c>
      <c r="L564" s="4">
        <f>Table1[[#This Row],[Net Earnings]]-Table1[[#This Row],[Fuel Cost]]</f>
        <v>1312</v>
      </c>
    </row>
    <row r="565" spans="1:12" ht="14.25" customHeight="1" x14ac:dyDescent="0.25">
      <c r="A565" s="3">
        <v>46158</v>
      </c>
      <c r="B565" s="1" t="s">
        <v>42</v>
      </c>
      <c r="C565" s="1" t="s">
        <v>43</v>
      </c>
      <c r="D565" s="1" t="s">
        <v>20</v>
      </c>
      <c r="E565" s="1" t="s">
        <v>29</v>
      </c>
      <c r="F565" s="1">
        <v>19</v>
      </c>
      <c r="G565" s="1">
        <v>4410</v>
      </c>
      <c r="H565" s="1">
        <v>840</v>
      </c>
      <c r="I565" s="1">
        <v>3570</v>
      </c>
      <c r="J565" s="1">
        <v>1450</v>
      </c>
      <c r="K565" s="1">
        <v>4.5999999999999996</v>
      </c>
      <c r="L565" s="4">
        <f>Table1[[#This Row],[Net Earnings]]-Table1[[#This Row],[Fuel Cost]]</f>
        <v>2120</v>
      </c>
    </row>
    <row r="566" spans="1:12" ht="14.25" customHeight="1" x14ac:dyDescent="0.25">
      <c r="A566" s="3">
        <v>46159</v>
      </c>
      <c r="B566" s="1" t="s">
        <v>27</v>
      </c>
      <c r="C566" s="1" t="s">
        <v>28</v>
      </c>
      <c r="D566" s="1" t="s">
        <v>13</v>
      </c>
      <c r="E566" s="1" t="s">
        <v>51</v>
      </c>
      <c r="F566" s="1">
        <v>26</v>
      </c>
      <c r="G566" s="1">
        <v>6647</v>
      </c>
      <c r="H566" s="1">
        <v>1260</v>
      </c>
      <c r="I566" s="1">
        <v>5387</v>
      </c>
      <c r="J566" s="1">
        <v>1640</v>
      </c>
      <c r="K566" s="1">
        <v>4.3</v>
      </c>
      <c r="L566" s="4">
        <f>Table1[[#This Row],[Net Earnings]]-Table1[[#This Row],[Fuel Cost]]</f>
        <v>3747</v>
      </c>
    </row>
    <row r="567" spans="1:12" ht="14.25" customHeight="1" x14ac:dyDescent="0.25">
      <c r="A567" s="3">
        <v>46160</v>
      </c>
      <c r="B567" s="1" t="s">
        <v>11</v>
      </c>
      <c r="C567" s="1" t="s">
        <v>12</v>
      </c>
      <c r="D567" s="1" t="s">
        <v>13</v>
      </c>
      <c r="E567" s="1" t="s">
        <v>44</v>
      </c>
      <c r="F567" s="1">
        <v>13</v>
      </c>
      <c r="G567" s="1">
        <v>3299</v>
      </c>
      <c r="H567" s="1">
        <v>630</v>
      </c>
      <c r="I567" s="1">
        <v>2669</v>
      </c>
      <c r="J567" s="1">
        <v>1160</v>
      </c>
      <c r="K567" s="1">
        <v>4.8</v>
      </c>
      <c r="L567" s="4">
        <f>Table1[[#This Row],[Net Earnings]]-Table1[[#This Row],[Fuel Cost]]</f>
        <v>1509</v>
      </c>
    </row>
    <row r="568" spans="1:12" ht="14.25" customHeight="1" x14ac:dyDescent="0.25">
      <c r="A568" s="3">
        <v>46161</v>
      </c>
      <c r="B568" s="1" t="s">
        <v>33</v>
      </c>
      <c r="C568" s="1" t="s">
        <v>34</v>
      </c>
      <c r="D568" s="1" t="s">
        <v>20</v>
      </c>
      <c r="E568" s="1" t="s">
        <v>26</v>
      </c>
      <c r="F568" s="1">
        <v>24</v>
      </c>
      <c r="G568" s="1">
        <v>6402</v>
      </c>
      <c r="H568" s="1">
        <v>1150</v>
      </c>
      <c r="I568" s="1">
        <v>5252</v>
      </c>
      <c r="J568" s="1">
        <v>1680</v>
      </c>
      <c r="K568" s="1">
        <v>4.7</v>
      </c>
      <c r="L568" s="4">
        <f>Table1[[#This Row],[Net Earnings]]-Table1[[#This Row],[Fuel Cost]]</f>
        <v>3572</v>
      </c>
    </row>
    <row r="569" spans="1:12" ht="14.25" customHeight="1" x14ac:dyDescent="0.25">
      <c r="A569" s="3">
        <v>46162</v>
      </c>
      <c r="B569" s="1" t="s">
        <v>18</v>
      </c>
      <c r="C569" s="1" t="s">
        <v>19</v>
      </c>
      <c r="D569" s="1" t="s">
        <v>14</v>
      </c>
      <c r="E569" s="1" t="s">
        <v>50</v>
      </c>
      <c r="F569" s="1">
        <v>21</v>
      </c>
      <c r="G569" s="1">
        <v>5434</v>
      </c>
      <c r="H569" s="1">
        <v>1090</v>
      </c>
      <c r="I569" s="1">
        <v>4344</v>
      </c>
      <c r="J569" s="1">
        <v>1260</v>
      </c>
      <c r="K569" s="1">
        <v>4.3</v>
      </c>
      <c r="L569" s="4">
        <f>Table1[[#This Row],[Net Earnings]]-Table1[[#This Row],[Fuel Cost]]</f>
        <v>3084</v>
      </c>
    </row>
    <row r="570" spans="1:12" ht="14.25" customHeight="1" x14ac:dyDescent="0.25">
      <c r="A570" s="3">
        <v>46163</v>
      </c>
      <c r="B570" s="1" t="s">
        <v>39</v>
      </c>
      <c r="C570" s="1" t="s">
        <v>40</v>
      </c>
      <c r="D570" s="1" t="s">
        <v>14</v>
      </c>
      <c r="E570" s="1" t="s">
        <v>41</v>
      </c>
      <c r="F570" s="1">
        <v>17</v>
      </c>
      <c r="G570" s="1">
        <v>4616</v>
      </c>
      <c r="H570" s="1">
        <v>880</v>
      </c>
      <c r="I570" s="1">
        <v>3736</v>
      </c>
      <c r="J570" s="1">
        <v>1260</v>
      </c>
      <c r="K570" s="1">
        <v>4.4000000000000004</v>
      </c>
      <c r="L570" s="4">
        <f>Table1[[#This Row],[Net Earnings]]-Table1[[#This Row],[Fuel Cost]]</f>
        <v>2476</v>
      </c>
    </row>
    <row r="571" spans="1:12" ht="14.25" customHeight="1" x14ac:dyDescent="0.25">
      <c r="A571" s="3">
        <v>46164</v>
      </c>
      <c r="B571" s="1" t="s">
        <v>24</v>
      </c>
      <c r="C571" s="1" t="s">
        <v>25</v>
      </c>
      <c r="D571" s="1" t="s">
        <v>20</v>
      </c>
      <c r="E571" s="1" t="s">
        <v>23</v>
      </c>
      <c r="F571" s="1">
        <v>24</v>
      </c>
      <c r="G571" s="1">
        <v>5553</v>
      </c>
      <c r="H571" s="1">
        <v>1220</v>
      </c>
      <c r="I571" s="1">
        <v>4333</v>
      </c>
      <c r="J571" s="1">
        <v>1330</v>
      </c>
      <c r="K571" s="1">
        <v>4.5</v>
      </c>
      <c r="L571" s="4">
        <f>Table1[[#This Row],[Net Earnings]]-Table1[[#This Row],[Fuel Cost]]</f>
        <v>3003</v>
      </c>
    </row>
    <row r="572" spans="1:12" ht="14.25" customHeight="1" x14ac:dyDescent="0.25">
      <c r="A572" s="3">
        <v>46165</v>
      </c>
      <c r="B572" s="1" t="s">
        <v>45</v>
      </c>
      <c r="C572" s="1" t="s">
        <v>46</v>
      </c>
      <c r="D572" s="1" t="s">
        <v>13</v>
      </c>
      <c r="E572" s="1" t="s">
        <v>49</v>
      </c>
      <c r="F572" s="1">
        <v>17</v>
      </c>
      <c r="G572" s="1">
        <v>4695</v>
      </c>
      <c r="H572" s="1">
        <v>1030</v>
      </c>
      <c r="I572" s="1">
        <v>3665</v>
      </c>
      <c r="J572" s="1">
        <v>1250</v>
      </c>
      <c r="K572" s="1">
        <v>4.7</v>
      </c>
      <c r="L572" s="4">
        <f>Table1[[#This Row],[Net Earnings]]-Table1[[#This Row],[Fuel Cost]]</f>
        <v>2415</v>
      </c>
    </row>
    <row r="573" spans="1:12" ht="14.25" customHeight="1" x14ac:dyDescent="0.25">
      <c r="A573" s="3">
        <v>46166</v>
      </c>
      <c r="B573" s="1" t="s">
        <v>30</v>
      </c>
      <c r="C573" s="1" t="s">
        <v>31</v>
      </c>
      <c r="D573" s="1" t="s">
        <v>13</v>
      </c>
      <c r="E573" s="1" t="s">
        <v>38</v>
      </c>
      <c r="F573" s="1">
        <v>28</v>
      </c>
      <c r="G573" s="1">
        <v>7380</v>
      </c>
      <c r="H573" s="1">
        <v>1480</v>
      </c>
      <c r="I573" s="1">
        <v>5900</v>
      </c>
      <c r="J573" s="1">
        <v>1640</v>
      </c>
      <c r="K573" s="1">
        <v>4.3</v>
      </c>
      <c r="L573" s="4">
        <f>Table1[[#This Row],[Net Earnings]]-Table1[[#This Row],[Fuel Cost]]</f>
        <v>4260</v>
      </c>
    </row>
    <row r="574" spans="1:12" ht="14.25" customHeight="1" x14ac:dyDescent="0.25">
      <c r="A574" s="3">
        <v>46167</v>
      </c>
      <c r="B574" s="1" t="s">
        <v>15</v>
      </c>
      <c r="C574" s="1" t="s">
        <v>16</v>
      </c>
      <c r="D574" s="1" t="s">
        <v>20</v>
      </c>
      <c r="E574" s="1" t="s">
        <v>13</v>
      </c>
      <c r="F574" s="1">
        <v>15</v>
      </c>
      <c r="G574" s="1">
        <v>3138</v>
      </c>
      <c r="H574" s="1">
        <v>690</v>
      </c>
      <c r="I574" s="1">
        <v>2448</v>
      </c>
      <c r="J574" s="1">
        <v>1080</v>
      </c>
      <c r="K574" s="1">
        <v>4.5999999999999996</v>
      </c>
      <c r="L574" s="4">
        <f>Table1[[#This Row],[Net Earnings]]-Table1[[#This Row],[Fuel Cost]]</f>
        <v>1368</v>
      </c>
    </row>
    <row r="575" spans="1:12" ht="14.25" customHeight="1" x14ac:dyDescent="0.25">
      <c r="A575" s="3">
        <v>46168</v>
      </c>
      <c r="B575" s="1" t="s">
        <v>36</v>
      </c>
      <c r="C575" s="1" t="s">
        <v>37</v>
      </c>
      <c r="D575" s="1" t="s">
        <v>20</v>
      </c>
      <c r="E575" s="1" t="s">
        <v>48</v>
      </c>
      <c r="F575" s="1">
        <v>14</v>
      </c>
      <c r="G575" s="1">
        <v>3932</v>
      </c>
      <c r="H575" s="1">
        <v>870</v>
      </c>
      <c r="I575" s="1">
        <v>3062</v>
      </c>
      <c r="J575" s="1">
        <v>1120</v>
      </c>
      <c r="K575" s="1">
        <v>4.4000000000000004</v>
      </c>
      <c r="L575" s="4">
        <f>Table1[[#This Row],[Net Earnings]]-Table1[[#This Row],[Fuel Cost]]</f>
        <v>1942</v>
      </c>
    </row>
    <row r="576" spans="1:12" ht="14.25" customHeight="1" x14ac:dyDescent="0.25">
      <c r="A576" s="3">
        <v>46169</v>
      </c>
      <c r="B576" s="1" t="s">
        <v>21</v>
      </c>
      <c r="C576" s="1" t="s">
        <v>22</v>
      </c>
      <c r="D576" s="1" t="s">
        <v>35</v>
      </c>
      <c r="E576" s="1" t="s">
        <v>20</v>
      </c>
      <c r="F576" s="1">
        <v>10</v>
      </c>
      <c r="G576" s="1">
        <v>2391</v>
      </c>
      <c r="H576" s="1">
        <v>480</v>
      </c>
      <c r="I576" s="1">
        <v>1911</v>
      </c>
      <c r="J576" s="1">
        <v>1000</v>
      </c>
      <c r="K576" s="1">
        <v>4.8</v>
      </c>
      <c r="L576" s="4">
        <f>Table1[[#This Row],[Net Earnings]]-Table1[[#This Row],[Fuel Cost]]</f>
        <v>911</v>
      </c>
    </row>
    <row r="577" spans="1:12" ht="14.25" customHeight="1" x14ac:dyDescent="0.25">
      <c r="A577" s="3">
        <v>46170</v>
      </c>
      <c r="B577" s="1" t="s">
        <v>42</v>
      </c>
      <c r="C577" s="1" t="s">
        <v>43</v>
      </c>
      <c r="D577" s="1" t="s">
        <v>13</v>
      </c>
      <c r="E577" s="1" t="s">
        <v>17</v>
      </c>
      <c r="F577" s="1">
        <v>22</v>
      </c>
      <c r="G577" s="1">
        <v>4738</v>
      </c>
      <c r="H577" s="1">
        <v>990</v>
      </c>
      <c r="I577" s="1">
        <v>3748</v>
      </c>
      <c r="J577" s="1">
        <v>1420</v>
      </c>
      <c r="K577" s="1">
        <v>4.5999999999999996</v>
      </c>
      <c r="L577" s="4">
        <f>Table1[[#This Row],[Net Earnings]]-Table1[[#This Row],[Fuel Cost]]</f>
        <v>2328</v>
      </c>
    </row>
    <row r="578" spans="1:12" ht="14.25" customHeight="1" x14ac:dyDescent="0.25">
      <c r="A578" s="3">
        <v>46171</v>
      </c>
      <c r="B578" s="1" t="s">
        <v>27</v>
      </c>
      <c r="C578" s="1" t="s">
        <v>28</v>
      </c>
      <c r="D578" s="1" t="s">
        <v>14</v>
      </c>
      <c r="E578" s="1" t="s">
        <v>13</v>
      </c>
      <c r="F578" s="1">
        <v>19</v>
      </c>
      <c r="G578" s="1">
        <v>4009</v>
      </c>
      <c r="H578" s="1">
        <v>720</v>
      </c>
      <c r="I578" s="1">
        <v>3289</v>
      </c>
      <c r="J578" s="1">
        <v>1550</v>
      </c>
      <c r="K578" s="1">
        <v>4.7</v>
      </c>
      <c r="L578" s="4">
        <f>Table1[[#This Row],[Net Earnings]]-Table1[[#This Row],[Fuel Cost]]</f>
        <v>1739</v>
      </c>
    </row>
    <row r="579" spans="1:12" ht="14.25" customHeight="1" x14ac:dyDescent="0.25">
      <c r="A579" s="3">
        <v>46172</v>
      </c>
      <c r="B579" s="1" t="s">
        <v>11</v>
      </c>
      <c r="C579" s="1" t="s">
        <v>12</v>
      </c>
      <c r="D579" s="1" t="s">
        <v>14</v>
      </c>
      <c r="E579" s="1" t="s">
        <v>32</v>
      </c>
      <c r="F579" s="1">
        <v>27</v>
      </c>
      <c r="G579" s="1">
        <v>7648</v>
      </c>
      <c r="H579" s="1">
        <v>1610</v>
      </c>
      <c r="I579" s="1">
        <v>6038</v>
      </c>
      <c r="J579" s="1">
        <v>1690</v>
      </c>
      <c r="K579" s="1">
        <v>4.4000000000000004</v>
      </c>
      <c r="L579" s="4">
        <f>Table1[[#This Row],[Net Earnings]]-Table1[[#This Row],[Fuel Cost]]</f>
        <v>4348</v>
      </c>
    </row>
    <row r="580" spans="1:12" ht="14.25" customHeight="1" x14ac:dyDescent="0.25">
      <c r="A580" s="3">
        <v>46173</v>
      </c>
      <c r="B580" s="1" t="s">
        <v>33</v>
      </c>
      <c r="C580" s="1" t="s">
        <v>34</v>
      </c>
      <c r="D580" s="1" t="s">
        <v>13</v>
      </c>
      <c r="E580" s="1" t="s">
        <v>14</v>
      </c>
      <c r="F580" s="1">
        <v>28</v>
      </c>
      <c r="G580" s="1">
        <v>6408</v>
      </c>
      <c r="H580" s="1">
        <v>1350</v>
      </c>
      <c r="I580" s="1">
        <v>5058</v>
      </c>
      <c r="J580" s="1">
        <v>1630</v>
      </c>
      <c r="K580" s="1">
        <v>4.5999999999999996</v>
      </c>
      <c r="L580" s="4">
        <f>Table1[[#This Row],[Net Earnings]]-Table1[[#This Row],[Fuel Cost]]</f>
        <v>3428</v>
      </c>
    </row>
    <row r="581" spans="1:12" ht="14.25" customHeight="1" x14ac:dyDescent="0.25">
      <c r="A581" s="3">
        <v>46174</v>
      </c>
      <c r="B581" s="1" t="s">
        <v>18</v>
      </c>
      <c r="C581" s="1" t="s">
        <v>19</v>
      </c>
      <c r="D581" s="1" t="s">
        <v>20</v>
      </c>
      <c r="E581" s="1" t="s">
        <v>47</v>
      </c>
      <c r="F581" s="1">
        <v>15</v>
      </c>
      <c r="G581" s="1">
        <v>4272</v>
      </c>
      <c r="H581" s="1">
        <v>940</v>
      </c>
      <c r="I581" s="1">
        <v>3332</v>
      </c>
      <c r="J581" s="1">
        <v>1100</v>
      </c>
      <c r="K581" s="1">
        <v>4.5</v>
      </c>
      <c r="L581" s="4">
        <f>Table1[[#This Row],[Net Earnings]]-Table1[[#This Row],[Fuel Cost]]</f>
        <v>2232</v>
      </c>
    </row>
    <row r="582" spans="1:12" ht="14.25" customHeight="1" x14ac:dyDescent="0.25">
      <c r="A582" s="3">
        <v>46175</v>
      </c>
      <c r="B582" s="1" t="s">
        <v>39</v>
      </c>
      <c r="C582" s="1" t="s">
        <v>40</v>
      </c>
      <c r="D582" s="1" t="s">
        <v>20</v>
      </c>
      <c r="E582" s="1" t="s">
        <v>29</v>
      </c>
      <c r="F582" s="1">
        <v>26</v>
      </c>
      <c r="G582" s="1">
        <v>6373</v>
      </c>
      <c r="H582" s="1">
        <v>1400</v>
      </c>
      <c r="I582" s="1">
        <v>4973</v>
      </c>
      <c r="J582" s="1">
        <v>1440</v>
      </c>
      <c r="K582" s="1">
        <v>4.5</v>
      </c>
      <c r="L582" s="4">
        <f>Table1[[#This Row],[Net Earnings]]-Table1[[#This Row],[Fuel Cost]]</f>
        <v>3533</v>
      </c>
    </row>
    <row r="583" spans="1:12" ht="14.25" customHeight="1" x14ac:dyDescent="0.25">
      <c r="A583" s="3">
        <v>46176</v>
      </c>
      <c r="B583" s="1" t="s">
        <v>24</v>
      </c>
      <c r="C583" s="1" t="s">
        <v>25</v>
      </c>
      <c r="D583" s="1" t="s">
        <v>13</v>
      </c>
      <c r="E583" s="1" t="s">
        <v>51</v>
      </c>
      <c r="F583" s="1">
        <v>17</v>
      </c>
      <c r="G583" s="1">
        <v>4147</v>
      </c>
      <c r="H583" s="1">
        <v>750</v>
      </c>
      <c r="I583" s="1">
        <v>3397</v>
      </c>
      <c r="J583" s="1">
        <v>1340</v>
      </c>
      <c r="K583" s="1">
        <v>4.5999999999999996</v>
      </c>
      <c r="L583" s="4">
        <f>Table1[[#This Row],[Net Earnings]]-Table1[[#This Row],[Fuel Cost]]</f>
        <v>2057</v>
      </c>
    </row>
    <row r="584" spans="1:12" ht="14.25" customHeight="1" x14ac:dyDescent="0.25">
      <c r="A584" s="3">
        <v>46177</v>
      </c>
      <c r="B584" s="1" t="s">
        <v>45</v>
      </c>
      <c r="C584" s="1" t="s">
        <v>46</v>
      </c>
      <c r="D584" s="1" t="s">
        <v>13</v>
      </c>
      <c r="E584" s="1" t="s">
        <v>44</v>
      </c>
      <c r="F584" s="1">
        <v>21</v>
      </c>
      <c r="G584" s="1">
        <v>5687</v>
      </c>
      <c r="H584" s="1">
        <v>1140</v>
      </c>
      <c r="I584" s="1">
        <v>4547</v>
      </c>
      <c r="J584" s="1">
        <v>1320</v>
      </c>
      <c r="K584" s="1">
        <v>4.7</v>
      </c>
      <c r="L584" s="4">
        <f>Table1[[#This Row],[Net Earnings]]-Table1[[#This Row],[Fuel Cost]]</f>
        <v>3227</v>
      </c>
    </row>
    <row r="585" spans="1:12" ht="14.25" customHeight="1" x14ac:dyDescent="0.25">
      <c r="A585" s="3">
        <v>46178</v>
      </c>
      <c r="B585" s="1" t="s">
        <v>30</v>
      </c>
      <c r="C585" s="1" t="s">
        <v>31</v>
      </c>
      <c r="D585" s="1" t="s">
        <v>20</v>
      </c>
      <c r="E585" s="1" t="s">
        <v>26</v>
      </c>
      <c r="F585" s="1">
        <v>23</v>
      </c>
      <c r="G585" s="1">
        <v>6301</v>
      </c>
      <c r="H585" s="1">
        <v>1130</v>
      </c>
      <c r="I585" s="1">
        <v>5171</v>
      </c>
      <c r="J585" s="1">
        <v>1630</v>
      </c>
      <c r="K585" s="1">
        <v>4.8</v>
      </c>
      <c r="L585" s="4">
        <f>Table1[[#This Row],[Net Earnings]]-Table1[[#This Row],[Fuel Cost]]</f>
        <v>3541</v>
      </c>
    </row>
    <row r="586" spans="1:12" ht="14.25" customHeight="1" x14ac:dyDescent="0.25">
      <c r="A586" s="3">
        <v>46179</v>
      </c>
      <c r="B586" s="1" t="s">
        <v>15</v>
      </c>
      <c r="C586" s="1" t="s">
        <v>16</v>
      </c>
      <c r="D586" s="1" t="s">
        <v>14</v>
      </c>
      <c r="E586" s="1" t="s">
        <v>50</v>
      </c>
      <c r="F586" s="1">
        <v>11</v>
      </c>
      <c r="G586" s="1">
        <v>2373</v>
      </c>
      <c r="H586" s="1">
        <v>430</v>
      </c>
      <c r="I586" s="1">
        <v>1943</v>
      </c>
      <c r="J586" s="1">
        <v>1150</v>
      </c>
      <c r="K586" s="1">
        <v>4.7</v>
      </c>
      <c r="L586" s="4">
        <f>Table1[[#This Row],[Net Earnings]]-Table1[[#This Row],[Fuel Cost]]</f>
        <v>793</v>
      </c>
    </row>
    <row r="587" spans="1:12" ht="14.25" customHeight="1" x14ac:dyDescent="0.25">
      <c r="A587" s="3">
        <v>46180</v>
      </c>
      <c r="B587" s="1" t="s">
        <v>36</v>
      </c>
      <c r="C587" s="1" t="s">
        <v>37</v>
      </c>
      <c r="D587" s="1" t="s">
        <v>14</v>
      </c>
      <c r="E587" s="1" t="s">
        <v>41</v>
      </c>
      <c r="F587" s="1">
        <v>19</v>
      </c>
      <c r="G587" s="1">
        <v>5359</v>
      </c>
      <c r="H587" s="1">
        <v>1130</v>
      </c>
      <c r="I587" s="1">
        <v>4229</v>
      </c>
      <c r="J587" s="1">
        <v>1210</v>
      </c>
      <c r="K587" s="1">
        <v>4.4000000000000004</v>
      </c>
      <c r="L587" s="4">
        <f>Table1[[#This Row],[Net Earnings]]-Table1[[#This Row],[Fuel Cost]]</f>
        <v>3019</v>
      </c>
    </row>
    <row r="588" spans="1:12" ht="14.25" customHeight="1" x14ac:dyDescent="0.25">
      <c r="A588" s="3">
        <v>46181</v>
      </c>
      <c r="B588" s="1" t="s">
        <v>21</v>
      </c>
      <c r="C588" s="1" t="s">
        <v>22</v>
      </c>
      <c r="D588" s="1" t="s">
        <v>20</v>
      </c>
      <c r="E588" s="1" t="s">
        <v>23</v>
      </c>
      <c r="F588" s="1">
        <v>17</v>
      </c>
      <c r="G588" s="1">
        <v>3706</v>
      </c>
      <c r="H588" s="1">
        <v>780</v>
      </c>
      <c r="I588" s="1">
        <v>2926</v>
      </c>
      <c r="J588" s="1">
        <v>1120</v>
      </c>
      <c r="K588" s="1">
        <v>4.5999999999999996</v>
      </c>
      <c r="L588" s="4">
        <f>Table1[[#This Row],[Net Earnings]]-Table1[[#This Row],[Fuel Cost]]</f>
        <v>1806</v>
      </c>
    </row>
    <row r="589" spans="1:12" ht="14.25" customHeight="1" x14ac:dyDescent="0.25">
      <c r="A589" s="3">
        <v>46182</v>
      </c>
      <c r="B589" s="1" t="s">
        <v>42</v>
      </c>
      <c r="C589" s="1" t="s">
        <v>43</v>
      </c>
      <c r="D589" s="1" t="s">
        <v>13</v>
      </c>
      <c r="E589" s="1" t="s">
        <v>49</v>
      </c>
      <c r="F589" s="1">
        <v>27</v>
      </c>
      <c r="G589" s="1">
        <v>6207</v>
      </c>
      <c r="H589" s="1">
        <v>1240</v>
      </c>
      <c r="I589" s="1">
        <v>4967</v>
      </c>
      <c r="J589" s="1">
        <v>1610</v>
      </c>
      <c r="K589" s="1">
        <v>4.4000000000000004</v>
      </c>
      <c r="L589" s="4">
        <f>Table1[[#This Row],[Net Earnings]]-Table1[[#This Row],[Fuel Cost]]</f>
        <v>3357</v>
      </c>
    </row>
    <row r="590" spans="1:12" ht="14.25" customHeight="1" x14ac:dyDescent="0.25">
      <c r="A590" s="3">
        <v>46183</v>
      </c>
      <c r="B590" s="1" t="s">
        <v>27</v>
      </c>
      <c r="C590" s="1" t="s">
        <v>28</v>
      </c>
      <c r="D590" s="1" t="s">
        <v>13</v>
      </c>
      <c r="E590" s="1" t="s">
        <v>38</v>
      </c>
      <c r="F590" s="1">
        <v>11</v>
      </c>
      <c r="G590" s="1">
        <v>3053</v>
      </c>
      <c r="H590" s="1">
        <v>670</v>
      </c>
      <c r="I590" s="1">
        <v>2383</v>
      </c>
      <c r="J590" s="1">
        <v>1190</v>
      </c>
      <c r="K590" s="1">
        <v>4.8</v>
      </c>
      <c r="L590" s="4">
        <f>Table1[[#This Row],[Net Earnings]]-Table1[[#This Row],[Fuel Cost]]</f>
        <v>1193</v>
      </c>
    </row>
    <row r="591" spans="1:12" ht="14.25" customHeight="1" x14ac:dyDescent="0.25">
      <c r="A591" s="3">
        <v>46184</v>
      </c>
      <c r="B591" s="1" t="s">
        <v>11</v>
      </c>
      <c r="C591" s="1" t="s">
        <v>12</v>
      </c>
      <c r="D591" s="1" t="s">
        <v>20</v>
      </c>
      <c r="E591" s="1" t="s">
        <v>13</v>
      </c>
      <c r="F591" s="1">
        <v>24</v>
      </c>
      <c r="G591" s="1">
        <v>6577</v>
      </c>
      <c r="H591" s="1">
        <v>1450</v>
      </c>
      <c r="I591" s="1">
        <v>5127</v>
      </c>
      <c r="J591" s="1">
        <v>1570</v>
      </c>
      <c r="K591" s="1">
        <v>4.8</v>
      </c>
      <c r="L591" s="4">
        <f>Table1[[#This Row],[Net Earnings]]-Table1[[#This Row],[Fuel Cost]]</f>
        <v>3557</v>
      </c>
    </row>
    <row r="592" spans="1:12" ht="14.25" customHeight="1" x14ac:dyDescent="0.25">
      <c r="A592" s="3">
        <v>46155</v>
      </c>
      <c r="B592" s="1" t="s">
        <v>33</v>
      </c>
      <c r="C592" s="1" t="s">
        <v>34</v>
      </c>
      <c r="D592" s="1" t="s">
        <v>20</v>
      </c>
      <c r="E592" s="1" t="s">
        <v>48</v>
      </c>
      <c r="F592" s="1">
        <v>20</v>
      </c>
      <c r="G592" s="1">
        <v>4366</v>
      </c>
      <c r="H592" s="1">
        <v>830</v>
      </c>
      <c r="I592" s="1">
        <v>3536</v>
      </c>
      <c r="J592" s="1">
        <v>1460</v>
      </c>
      <c r="K592" s="1">
        <v>4.9000000000000004</v>
      </c>
      <c r="L592" s="4">
        <f>Table1[[#This Row],[Net Earnings]]-Table1[[#This Row],[Fuel Cost]]</f>
        <v>2076</v>
      </c>
    </row>
    <row r="593" spans="1:12" ht="14.25" customHeight="1" x14ac:dyDescent="0.25">
      <c r="A593" s="3">
        <v>46156</v>
      </c>
      <c r="B593" s="1" t="s">
        <v>18</v>
      </c>
      <c r="C593" s="1" t="s">
        <v>19</v>
      </c>
      <c r="D593" s="1" t="s">
        <v>35</v>
      </c>
      <c r="E593" s="1" t="s">
        <v>20</v>
      </c>
      <c r="F593" s="1">
        <v>16</v>
      </c>
      <c r="G593" s="1">
        <v>4462</v>
      </c>
      <c r="H593" s="1">
        <v>890</v>
      </c>
      <c r="I593" s="1">
        <v>3572</v>
      </c>
      <c r="J593" s="1">
        <v>1270</v>
      </c>
      <c r="K593" s="1">
        <v>4.5</v>
      </c>
      <c r="L593" s="4">
        <f>Table1[[#This Row],[Net Earnings]]-Table1[[#This Row],[Fuel Cost]]</f>
        <v>2302</v>
      </c>
    </row>
    <row r="594" spans="1:12" ht="14.25" customHeight="1" x14ac:dyDescent="0.25">
      <c r="A594" s="3">
        <v>46157</v>
      </c>
      <c r="B594" s="1" t="s">
        <v>39</v>
      </c>
      <c r="C594" s="1" t="s">
        <v>40</v>
      </c>
      <c r="D594" s="1" t="s">
        <v>13</v>
      </c>
      <c r="E594" s="1" t="s">
        <v>17</v>
      </c>
      <c r="F594" s="1">
        <v>22</v>
      </c>
      <c r="G594" s="1">
        <v>5831</v>
      </c>
      <c r="H594" s="1">
        <v>1170</v>
      </c>
      <c r="I594" s="1">
        <v>4661</v>
      </c>
      <c r="J594" s="1">
        <v>1370</v>
      </c>
      <c r="K594" s="1">
        <v>4.4000000000000004</v>
      </c>
      <c r="L594" s="4">
        <f>Table1[[#This Row],[Net Earnings]]-Table1[[#This Row],[Fuel Cost]]</f>
        <v>3291</v>
      </c>
    </row>
    <row r="595" spans="1:12" ht="14.25" customHeight="1" x14ac:dyDescent="0.25">
      <c r="A595" s="3">
        <v>46158</v>
      </c>
      <c r="B595" s="1" t="s">
        <v>24</v>
      </c>
      <c r="C595" s="1" t="s">
        <v>25</v>
      </c>
      <c r="D595" s="1" t="s">
        <v>14</v>
      </c>
      <c r="E595" s="1" t="s">
        <v>13</v>
      </c>
      <c r="F595" s="1">
        <v>28</v>
      </c>
      <c r="G595" s="1">
        <v>6148</v>
      </c>
      <c r="H595" s="1">
        <v>1170</v>
      </c>
      <c r="I595" s="1">
        <v>4978</v>
      </c>
      <c r="J595" s="1">
        <v>1750</v>
      </c>
      <c r="K595" s="1">
        <v>4.5</v>
      </c>
      <c r="L595" s="4">
        <f>Table1[[#This Row],[Net Earnings]]-Table1[[#This Row],[Fuel Cost]]</f>
        <v>3228</v>
      </c>
    </row>
    <row r="596" spans="1:12" ht="14.25" customHeight="1" x14ac:dyDescent="0.25">
      <c r="A596" s="3">
        <v>46159</v>
      </c>
      <c r="B596" s="1" t="s">
        <v>45</v>
      </c>
      <c r="C596" s="1" t="s">
        <v>46</v>
      </c>
      <c r="D596" s="1" t="s">
        <v>14</v>
      </c>
      <c r="E596" s="1" t="s">
        <v>32</v>
      </c>
      <c r="F596" s="1">
        <v>10</v>
      </c>
      <c r="G596" s="1">
        <v>2467</v>
      </c>
      <c r="H596" s="1">
        <v>490</v>
      </c>
      <c r="I596" s="1">
        <v>1977</v>
      </c>
      <c r="J596" s="1">
        <v>1100</v>
      </c>
      <c r="K596" s="1">
        <v>4.5</v>
      </c>
      <c r="L596" s="4">
        <f>Table1[[#This Row],[Net Earnings]]-Table1[[#This Row],[Fuel Cost]]</f>
        <v>877</v>
      </c>
    </row>
    <row r="597" spans="1:12" ht="14.25" customHeight="1" x14ac:dyDescent="0.25">
      <c r="A597" s="3">
        <v>46160</v>
      </c>
      <c r="B597" s="1" t="s">
        <v>30</v>
      </c>
      <c r="C597" s="1" t="s">
        <v>31</v>
      </c>
      <c r="D597" s="1" t="s">
        <v>13</v>
      </c>
      <c r="E597" s="1" t="s">
        <v>14</v>
      </c>
      <c r="F597" s="1">
        <v>19</v>
      </c>
      <c r="G597" s="1">
        <v>5173</v>
      </c>
      <c r="H597" s="1">
        <v>930</v>
      </c>
      <c r="I597" s="1">
        <v>4243</v>
      </c>
      <c r="J597" s="1">
        <v>1490</v>
      </c>
      <c r="K597" s="1">
        <v>4.4000000000000004</v>
      </c>
      <c r="L597" s="4">
        <f>Table1[[#This Row],[Net Earnings]]-Table1[[#This Row],[Fuel Cost]]</f>
        <v>2753</v>
      </c>
    </row>
    <row r="598" spans="1:12" ht="14.25" customHeight="1" x14ac:dyDescent="0.25">
      <c r="A598" s="3">
        <v>46161</v>
      </c>
      <c r="B598" s="1" t="s">
        <v>15</v>
      </c>
      <c r="C598" s="1" t="s">
        <v>16</v>
      </c>
      <c r="D598" s="1" t="s">
        <v>20</v>
      </c>
      <c r="E598" s="1" t="s">
        <v>47</v>
      </c>
      <c r="F598" s="1">
        <v>15</v>
      </c>
      <c r="G598" s="1">
        <v>3041</v>
      </c>
      <c r="H598" s="1">
        <v>640</v>
      </c>
      <c r="I598" s="1">
        <v>2401</v>
      </c>
      <c r="J598" s="1">
        <v>1180</v>
      </c>
      <c r="K598" s="1">
        <v>4.8</v>
      </c>
      <c r="L598" s="4">
        <f>Table1[[#This Row],[Net Earnings]]-Table1[[#This Row],[Fuel Cost]]</f>
        <v>1221</v>
      </c>
    </row>
    <row r="599" spans="1:12" ht="14.25" customHeight="1" x14ac:dyDescent="0.25">
      <c r="A599" s="3">
        <v>46162</v>
      </c>
      <c r="B599" s="1" t="s">
        <v>36</v>
      </c>
      <c r="C599" s="1" t="s">
        <v>37</v>
      </c>
      <c r="D599" s="1" t="s">
        <v>20</v>
      </c>
      <c r="E599" s="1" t="s">
        <v>29</v>
      </c>
      <c r="F599" s="1">
        <v>14</v>
      </c>
      <c r="G599" s="1">
        <v>3487</v>
      </c>
      <c r="H599" s="1">
        <v>630</v>
      </c>
      <c r="I599" s="1">
        <v>2857</v>
      </c>
      <c r="J599" s="1">
        <v>1250</v>
      </c>
      <c r="K599" s="1">
        <v>4.5</v>
      </c>
      <c r="L599" s="4">
        <f>Table1[[#This Row],[Net Earnings]]-Table1[[#This Row],[Fuel Cost]]</f>
        <v>1607</v>
      </c>
    </row>
    <row r="600" spans="1:12" ht="14.25" customHeight="1" x14ac:dyDescent="0.25">
      <c r="A600" s="3">
        <v>46163</v>
      </c>
      <c r="B600" s="1" t="s">
        <v>21</v>
      </c>
      <c r="C600" s="1" t="s">
        <v>22</v>
      </c>
      <c r="D600" s="1" t="s">
        <v>13</v>
      </c>
      <c r="E600" s="1" t="s">
        <v>51</v>
      </c>
      <c r="F600" s="1">
        <v>13</v>
      </c>
      <c r="G600" s="1">
        <v>3352</v>
      </c>
      <c r="H600" s="1">
        <v>740</v>
      </c>
      <c r="I600" s="1">
        <v>2612</v>
      </c>
      <c r="J600" s="1">
        <v>1270</v>
      </c>
      <c r="K600" s="1">
        <v>4.5999999999999996</v>
      </c>
      <c r="L600" s="4">
        <f>Table1[[#This Row],[Net Earnings]]-Table1[[#This Row],[Fuel Cost]]</f>
        <v>1342</v>
      </c>
    </row>
    <row r="601" spans="1:12" ht="14.25" customHeight="1" x14ac:dyDescent="0.25">
      <c r="A601" s="3">
        <v>46164</v>
      </c>
      <c r="B601" s="1" t="s">
        <v>42</v>
      </c>
      <c r="C601" s="1" t="s">
        <v>43</v>
      </c>
      <c r="D601" s="1" t="s">
        <v>13</v>
      </c>
      <c r="E601" s="1" t="s">
        <v>44</v>
      </c>
      <c r="F601" s="1">
        <v>23</v>
      </c>
      <c r="G601" s="1">
        <v>6374</v>
      </c>
      <c r="H601" s="1">
        <v>1210</v>
      </c>
      <c r="I601" s="1">
        <v>5164</v>
      </c>
      <c r="J601" s="1">
        <v>1350</v>
      </c>
      <c r="K601" s="1">
        <v>4.4000000000000004</v>
      </c>
      <c r="L601" s="4">
        <f>Table1[[#This Row],[Net Earnings]]-Table1[[#This Row],[Fuel Cost]]</f>
        <v>3814</v>
      </c>
    </row>
    <row r="602" spans="1:12" ht="14.25" customHeight="1" x14ac:dyDescent="0.25">
      <c r="D602" s="1"/>
      <c r="E602" s="1"/>
      <c r="F602" s="1"/>
    </row>
    <row r="603" spans="1:12" ht="14.25" customHeight="1" x14ac:dyDescent="0.25">
      <c r="D603" s="1"/>
      <c r="E603" s="1"/>
      <c r="F603" s="1"/>
    </row>
    <row r="604" spans="1:12" ht="14.25" customHeight="1" x14ac:dyDescent="0.25">
      <c r="D604" s="1"/>
      <c r="E604" s="1"/>
      <c r="F604" s="1"/>
    </row>
    <row r="605" spans="1:12" ht="14.25" customHeight="1" x14ac:dyDescent="0.25">
      <c r="D605" s="1"/>
      <c r="E605" s="1"/>
      <c r="F605" s="1"/>
    </row>
    <row r="606" spans="1:12" ht="14.25" customHeight="1" x14ac:dyDescent="0.25">
      <c r="D606" s="1"/>
      <c r="E606" s="1"/>
      <c r="F606" s="1"/>
    </row>
    <row r="607" spans="1:12" ht="14.25" customHeight="1" x14ac:dyDescent="0.25">
      <c r="D607" s="1"/>
      <c r="E607" s="1"/>
      <c r="F607" s="1"/>
    </row>
    <row r="608" spans="1:12" ht="14.25" customHeight="1" x14ac:dyDescent="0.25">
      <c r="D608" s="1"/>
      <c r="E608" s="1"/>
      <c r="F608" s="1"/>
    </row>
    <row r="609" spans="4:6" ht="14.25" customHeight="1" x14ac:dyDescent="0.25">
      <c r="D609" s="1"/>
      <c r="E609" s="1"/>
      <c r="F609" s="1"/>
    </row>
    <row r="610" spans="4:6" ht="14.25" customHeight="1" x14ac:dyDescent="0.25">
      <c r="D610" s="1"/>
      <c r="E610" s="1"/>
      <c r="F610" s="1"/>
    </row>
    <row r="611" spans="4:6" ht="14.25" customHeight="1" x14ac:dyDescent="0.25">
      <c r="D611" s="1"/>
      <c r="E611" s="1"/>
      <c r="F611" s="1"/>
    </row>
    <row r="612" spans="4:6" ht="14.25" customHeight="1" x14ac:dyDescent="0.25">
      <c r="D612" s="1"/>
      <c r="E612" s="1"/>
      <c r="F612" s="1"/>
    </row>
    <row r="613" spans="4:6" ht="14.25" customHeight="1" x14ac:dyDescent="0.25">
      <c r="D613" s="1"/>
      <c r="E613" s="1"/>
      <c r="F613" s="1"/>
    </row>
    <row r="614" spans="4:6" ht="14.25" customHeight="1" x14ac:dyDescent="0.25">
      <c r="D614" s="1"/>
      <c r="E614" s="1"/>
      <c r="F614" s="1"/>
    </row>
    <row r="615" spans="4:6" ht="14.25" customHeight="1" x14ac:dyDescent="0.25">
      <c r="D615" s="1"/>
      <c r="E615" s="1"/>
      <c r="F615" s="1"/>
    </row>
    <row r="616" spans="4:6" ht="14.25" customHeight="1" x14ac:dyDescent="0.25">
      <c r="D616" s="1"/>
      <c r="E616" s="1"/>
      <c r="F616" s="1"/>
    </row>
    <row r="617" spans="4:6" ht="14.25" customHeight="1" x14ac:dyDescent="0.25">
      <c r="D617" s="1"/>
      <c r="E617" s="1"/>
      <c r="F617" s="1"/>
    </row>
    <row r="618" spans="4:6" ht="14.25" customHeight="1" x14ac:dyDescent="0.25">
      <c r="D618" s="1"/>
      <c r="E618" s="1"/>
      <c r="F618" s="1"/>
    </row>
    <row r="619" spans="4:6" ht="14.25" customHeight="1" x14ac:dyDescent="0.25">
      <c r="D619" s="1"/>
      <c r="E619" s="1"/>
      <c r="F619" s="1"/>
    </row>
    <row r="620" spans="4:6" ht="14.25" customHeight="1" x14ac:dyDescent="0.25">
      <c r="D620" s="1"/>
      <c r="E620" s="1"/>
      <c r="F620" s="1"/>
    </row>
    <row r="621" spans="4:6" ht="14.25" customHeight="1" x14ac:dyDescent="0.25">
      <c r="D621" s="1"/>
      <c r="E621" s="1"/>
      <c r="F621" s="1"/>
    </row>
    <row r="622" spans="4:6" ht="14.25" customHeight="1" x14ac:dyDescent="0.25">
      <c r="D622" s="1"/>
      <c r="E622" s="1"/>
      <c r="F622" s="1"/>
    </row>
    <row r="623" spans="4:6" ht="14.25" customHeight="1" x14ac:dyDescent="0.25">
      <c r="D623" s="1"/>
      <c r="E623" s="1"/>
      <c r="F623" s="1"/>
    </row>
    <row r="624" spans="4:6" ht="14.25" customHeight="1" x14ac:dyDescent="0.25">
      <c r="D624" s="1"/>
      <c r="E624" s="1"/>
      <c r="F624" s="1"/>
    </row>
    <row r="625" spans="4:6" ht="14.25" customHeight="1" x14ac:dyDescent="0.25">
      <c r="D625" s="1"/>
      <c r="E625" s="1"/>
      <c r="F625" s="1"/>
    </row>
    <row r="626" spans="4:6" ht="14.25" customHeight="1" x14ac:dyDescent="0.25">
      <c r="D626" s="1"/>
      <c r="E626" s="1"/>
      <c r="F626" s="1"/>
    </row>
    <row r="627" spans="4:6" ht="14.25" customHeight="1" x14ac:dyDescent="0.25">
      <c r="D627" s="1"/>
      <c r="E627" s="1"/>
      <c r="F627" s="1"/>
    </row>
    <row r="628" spans="4:6" ht="14.25" customHeight="1" x14ac:dyDescent="0.25">
      <c r="D628" s="1"/>
      <c r="E628" s="1"/>
      <c r="F628" s="1"/>
    </row>
    <row r="629" spans="4:6" ht="14.25" customHeight="1" x14ac:dyDescent="0.25">
      <c r="D629" s="1"/>
      <c r="E629" s="1"/>
      <c r="F629" s="1"/>
    </row>
    <row r="630" spans="4:6" ht="14.25" customHeight="1" x14ac:dyDescent="0.25">
      <c r="D630" s="1"/>
      <c r="E630" s="1"/>
      <c r="F630" s="1"/>
    </row>
    <row r="631" spans="4:6" ht="14.25" customHeight="1" x14ac:dyDescent="0.25">
      <c r="D631" s="1"/>
      <c r="E631" s="1"/>
      <c r="F631" s="1"/>
    </row>
    <row r="632" spans="4:6" ht="14.25" customHeight="1" x14ac:dyDescent="0.25">
      <c r="D632" s="1"/>
      <c r="E632" s="1"/>
      <c r="F632" s="1"/>
    </row>
    <row r="633" spans="4:6" ht="14.25" customHeight="1" x14ac:dyDescent="0.25">
      <c r="D633" s="1"/>
      <c r="E633" s="1"/>
      <c r="F633" s="1"/>
    </row>
    <row r="634" spans="4:6" ht="14.25" customHeight="1" x14ac:dyDescent="0.25">
      <c r="D634" s="1"/>
      <c r="E634" s="1"/>
      <c r="F634" s="1"/>
    </row>
    <row r="635" spans="4:6" ht="14.25" customHeight="1" x14ac:dyDescent="0.25">
      <c r="D635" s="1"/>
      <c r="E635" s="1"/>
      <c r="F635" s="1"/>
    </row>
    <row r="636" spans="4:6" ht="14.25" customHeight="1" x14ac:dyDescent="0.25">
      <c r="D636" s="1"/>
      <c r="E636" s="1"/>
      <c r="F636" s="1"/>
    </row>
    <row r="637" spans="4:6" ht="14.25" customHeight="1" x14ac:dyDescent="0.25">
      <c r="D637" s="1"/>
      <c r="E637" s="1"/>
      <c r="F637" s="1"/>
    </row>
    <row r="638" spans="4:6" ht="14.25" customHeight="1" x14ac:dyDescent="0.25">
      <c r="D638" s="1"/>
      <c r="E638" s="1"/>
      <c r="F638" s="1"/>
    </row>
    <row r="639" spans="4:6" ht="14.25" customHeight="1" x14ac:dyDescent="0.25">
      <c r="D639" s="1"/>
      <c r="E639" s="1"/>
      <c r="F639" s="1"/>
    </row>
    <row r="640" spans="4:6" ht="14.25" customHeight="1" x14ac:dyDescent="0.25">
      <c r="D640" s="1"/>
      <c r="E640" s="1"/>
      <c r="F640" s="1"/>
    </row>
    <row r="641" spans="4:6" ht="14.25" customHeight="1" x14ac:dyDescent="0.25">
      <c r="D641" s="1"/>
      <c r="E641" s="1"/>
      <c r="F641" s="1"/>
    </row>
    <row r="642" spans="4:6" ht="14.25" customHeight="1" x14ac:dyDescent="0.25">
      <c r="D642" s="1"/>
      <c r="E642" s="1"/>
      <c r="F642" s="1"/>
    </row>
    <row r="643" spans="4:6" ht="14.25" customHeight="1" x14ac:dyDescent="0.25">
      <c r="D643" s="1"/>
      <c r="E643" s="1"/>
      <c r="F643" s="1"/>
    </row>
    <row r="644" spans="4:6" ht="14.25" customHeight="1" x14ac:dyDescent="0.25">
      <c r="D644" s="1"/>
      <c r="E644" s="1"/>
      <c r="F644" s="1"/>
    </row>
    <row r="645" spans="4:6" ht="14.25" customHeight="1" x14ac:dyDescent="0.25">
      <c r="D645" s="1"/>
      <c r="E645" s="1"/>
      <c r="F645" s="1"/>
    </row>
    <row r="646" spans="4:6" ht="14.25" customHeight="1" x14ac:dyDescent="0.25">
      <c r="D646" s="1"/>
      <c r="E646" s="1"/>
      <c r="F646" s="1"/>
    </row>
    <row r="647" spans="4:6" ht="14.25" customHeight="1" x14ac:dyDescent="0.25">
      <c r="D647" s="1"/>
      <c r="E647" s="1"/>
      <c r="F647" s="1"/>
    </row>
    <row r="648" spans="4:6" ht="14.25" customHeight="1" x14ac:dyDescent="0.25">
      <c r="D648" s="1"/>
      <c r="E648" s="1"/>
      <c r="F648" s="1"/>
    </row>
    <row r="649" spans="4:6" ht="14.25" customHeight="1" x14ac:dyDescent="0.25">
      <c r="D649" s="1"/>
      <c r="E649" s="1"/>
      <c r="F649" s="1"/>
    </row>
    <row r="650" spans="4:6" ht="14.25" customHeight="1" x14ac:dyDescent="0.25">
      <c r="D650" s="1"/>
      <c r="E650" s="1"/>
      <c r="F650" s="1"/>
    </row>
    <row r="651" spans="4:6" ht="14.25" customHeight="1" x14ac:dyDescent="0.25">
      <c r="D651" s="1"/>
      <c r="E651" s="1"/>
      <c r="F651" s="1"/>
    </row>
    <row r="652" spans="4:6" ht="14.25" customHeight="1" x14ac:dyDescent="0.25">
      <c r="D652" s="1"/>
      <c r="E652" s="1"/>
      <c r="F652" s="1"/>
    </row>
    <row r="653" spans="4:6" ht="14.25" customHeight="1" x14ac:dyDescent="0.25">
      <c r="D653" s="1"/>
      <c r="E653" s="1"/>
      <c r="F653" s="1"/>
    </row>
    <row r="654" spans="4:6" ht="14.25" customHeight="1" x14ac:dyDescent="0.25">
      <c r="D654" s="1"/>
      <c r="E654" s="1"/>
      <c r="F654" s="1"/>
    </row>
    <row r="655" spans="4:6" ht="14.25" customHeight="1" x14ac:dyDescent="0.25">
      <c r="D655" s="1"/>
      <c r="E655" s="1"/>
      <c r="F655" s="1"/>
    </row>
    <row r="656" spans="4:6" ht="14.25" customHeight="1" x14ac:dyDescent="0.25">
      <c r="D656" s="1"/>
      <c r="E656" s="1"/>
      <c r="F656" s="1"/>
    </row>
    <row r="657" spans="4:6" ht="14.25" customHeight="1" x14ac:dyDescent="0.25">
      <c r="D657" s="1"/>
      <c r="E657" s="1"/>
      <c r="F657" s="1"/>
    </row>
    <row r="658" spans="4:6" ht="14.25" customHeight="1" x14ac:dyDescent="0.25">
      <c r="D658" s="1"/>
      <c r="E658" s="1"/>
      <c r="F658" s="1"/>
    </row>
    <row r="659" spans="4:6" ht="14.25" customHeight="1" x14ac:dyDescent="0.25">
      <c r="D659" s="1"/>
      <c r="E659" s="1"/>
      <c r="F659" s="1"/>
    </row>
    <row r="660" spans="4:6" ht="14.25" customHeight="1" x14ac:dyDescent="0.25">
      <c r="D660" s="1"/>
      <c r="E660" s="1"/>
      <c r="F660" s="1"/>
    </row>
    <row r="661" spans="4:6" ht="14.25" customHeight="1" x14ac:dyDescent="0.25">
      <c r="D661" s="1"/>
      <c r="E661" s="1"/>
      <c r="F661" s="1"/>
    </row>
    <row r="662" spans="4:6" ht="14.25" customHeight="1" x14ac:dyDescent="0.25">
      <c r="D662" s="1"/>
      <c r="E662" s="1"/>
      <c r="F662" s="1"/>
    </row>
    <row r="663" spans="4:6" ht="14.25" customHeight="1" x14ac:dyDescent="0.25">
      <c r="D663" s="1"/>
      <c r="E663" s="1"/>
      <c r="F663" s="1"/>
    </row>
    <row r="664" spans="4:6" ht="14.25" customHeight="1" x14ac:dyDescent="0.25">
      <c r="D664" s="1"/>
      <c r="E664" s="1"/>
      <c r="F664" s="1"/>
    </row>
    <row r="665" spans="4:6" ht="14.25" customHeight="1" x14ac:dyDescent="0.25">
      <c r="D665" s="1"/>
      <c r="E665" s="1"/>
      <c r="F665" s="1"/>
    </row>
    <row r="666" spans="4:6" ht="14.25" customHeight="1" x14ac:dyDescent="0.25">
      <c r="D666" s="1"/>
      <c r="E666" s="1"/>
      <c r="F666" s="1"/>
    </row>
    <row r="667" spans="4:6" ht="14.25" customHeight="1" x14ac:dyDescent="0.25">
      <c r="D667" s="1"/>
      <c r="E667" s="1"/>
      <c r="F667" s="1"/>
    </row>
    <row r="668" spans="4:6" ht="14.25" customHeight="1" x14ac:dyDescent="0.25">
      <c r="D668" s="1"/>
      <c r="E668" s="1"/>
      <c r="F668" s="1"/>
    </row>
    <row r="669" spans="4:6" ht="14.25" customHeight="1" x14ac:dyDescent="0.25">
      <c r="D669" s="1"/>
      <c r="E669" s="1"/>
      <c r="F669" s="1"/>
    </row>
    <row r="670" spans="4:6" ht="14.25" customHeight="1" x14ac:dyDescent="0.25">
      <c r="D670" s="1"/>
      <c r="E670" s="1"/>
      <c r="F670" s="1"/>
    </row>
    <row r="671" spans="4:6" ht="14.25" customHeight="1" x14ac:dyDescent="0.25">
      <c r="D671" s="1"/>
      <c r="E671" s="1"/>
      <c r="F671" s="1"/>
    </row>
    <row r="672" spans="4:6" ht="14.25" customHeight="1" x14ac:dyDescent="0.25">
      <c r="D672" s="1"/>
      <c r="E672" s="1"/>
      <c r="F672" s="1"/>
    </row>
    <row r="673" spans="4:6" ht="14.25" customHeight="1" x14ac:dyDescent="0.25">
      <c r="D673" s="1"/>
      <c r="E673" s="1"/>
      <c r="F673" s="1"/>
    </row>
    <row r="674" spans="4:6" ht="14.25" customHeight="1" x14ac:dyDescent="0.25">
      <c r="D674" s="1"/>
      <c r="E674" s="1"/>
      <c r="F674" s="1"/>
    </row>
    <row r="675" spans="4:6" ht="14.25" customHeight="1" x14ac:dyDescent="0.25">
      <c r="D675" s="1"/>
      <c r="E675" s="1"/>
      <c r="F675" s="1"/>
    </row>
    <row r="676" spans="4:6" ht="14.25" customHeight="1" x14ac:dyDescent="0.25">
      <c r="D676" s="1"/>
      <c r="E676" s="1"/>
      <c r="F676" s="1"/>
    </row>
    <row r="677" spans="4:6" ht="14.25" customHeight="1" x14ac:dyDescent="0.25">
      <c r="D677" s="1"/>
      <c r="E677" s="1"/>
      <c r="F677" s="1"/>
    </row>
    <row r="678" spans="4:6" ht="14.25" customHeight="1" x14ac:dyDescent="0.25">
      <c r="D678" s="1"/>
      <c r="E678" s="1"/>
      <c r="F678" s="1"/>
    </row>
    <row r="679" spans="4:6" ht="14.25" customHeight="1" x14ac:dyDescent="0.25">
      <c r="D679" s="1"/>
      <c r="E679" s="1"/>
      <c r="F679" s="1"/>
    </row>
    <row r="680" spans="4:6" ht="14.25" customHeight="1" x14ac:dyDescent="0.25">
      <c r="D680" s="1"/>
      <c r="E680" s="1"/>
      <c r="F680" s="1"/>
    </row>
    <row r="681" spans="4:6" ht="14.25" customHeight="1" x14ac:dyDescent="0.25">
      <c r="D681" s="1"/>
      <c r="E681" s="1"/>
      <c r="F681" s="1"/>
    </row>
    <row r="682" spans="4:6" ht="14.25" customHeight="1" x14ac:dyDescent="0.25">
      <c r="D682" s="1"/>
      <c r="E682" s="1"/>
      <c r="F682" s="1"/>
    </row>
    <row r="683" spans="4:6" ht="14.25" customHeight="1" x14ac:dyDescent="0.25">
      <c r="D683" s="1"/>
      <c r="E683" s="1"/>
      <c r="F683" s="1"/>
    </row>
    <row r="684" spans="4:6" ht="14.25" customHeight="1" x14ac:dyDescent="0.25">
      <c r="D684" s="1"/>
      <c r="E684" s="1"/>
      <c r="F684" s="1"/>
    </row>
    <row r="685" spans="4:6" ht="14.25" customHeight="1" x14ac:dyDescent="0.25">
      <c r="D685" s="1"/>
      <c r="E685" s="1"/>
      <c r="F685" s="1"/>
    </row>
    <row r="686" spans="4:6" ht="14.25" customHeight="1" x14ac:dyDescent="0.25">
      <c r="D686" s="1"/>
      <c r="E686" s="1"/>
      <c r="F686" s="1"/>
    </row>
    <row r="687" spans="4:6" ht="14.25" customHeight="1" x14ac:dyDescent="0.25">
      <c r="D687" s="1"/>
      <c r="E687" s="1"/>
      <c r="F687" s="1"/>
    </row>
    <row r="688" spans="4:6" ht="14.25" customHeight="1" x14ac:dyDescent="0.25">
      <c r="D688" s="1"/>
      <c r="E688" s="1"/>
      <c r="F688" s="1"/>
    </row>
    <row r="689" spans="4:6" ht="14.25" customHeight="1" x14ac:dyDescent="0.25">
      <c r="D689" s="1"/>
      <c r="E689" s="1"/>
      <c r="F689" s="1"/>
    </row>
    <row r="690" spans="4:6" ht="14.25" customHeight="1" x14ac:dyDescent="0.25">
      <c r="D690" s="1"/>
      <c r="E690" s="1"/>
      <c r="F690" s="1"/>
    </row>
    <row r="691" spans="4:6" ht="14.25" customHeight="1" x14ac:dyDescent="0.25">
      <c r="D691" s="1"/>
      <c r="E691" s="1"/>
      <c r="F691" s="1"/>
    </row>
    <row r="692" spans="4:6" ht="14.25" customHeight="1" x14ac:dyDescent="0.25">
      <c r="D692" s="1"/>
      <c r="E692" s="1"/>
      <c r="F692" s="1"/>
    </row>
    <row r="693" spans="4:6" ht="14.25" customHeight="1" x14ac:dyDescent="0.25">
      <c r="D693" s="1"/>
      <c r="E693" s="1"/>
      <c r="F693" s="1"/>
    </row>
    <row r="694" spans="4:6" ht="14.25" customHeight="1" x14ac:dyDescent="0.25">
      <c r="D694" s="1"/>
      <c r="E694" s="1"/>
      <c r="F694" s="1"/>
    </row>
    <row r="695" spans="4:6" ht="14.25" customHeight="1" x14ac:dyDescent="0.25">
      <c r="D695" s="1"/>
      <c r="E695" s="1"/>
      <c r="F695" s="1"/>
    </row>
    <row r="696" spans="4:6" ht="14.25" customHeight="1" x14ac:dyDescent="0.25">
      <c r="D696" s="1"/>
      <c r="E696" s="1"/>
      <c r="F696" s="1"/>
    </row>
    <row r="697" spans="4:6" ht="14.25" customHeight="1" x14ac:dyDescent="0.25">
      <c r="D697" s="1"/>
      <c r="E697" s="1"/>
      <c r="F697" s="1"/>
    </row>
    <row r="698" spans="4:6" ht="14.25" customHeight="1" x14ac:dyDescent="0.25">
      <c r="D698" s="1"/>
      <c r="E698" s="1"/>
      <c r="F698" s="1"/>
    </row>
    <row r="699" spans="4:6" ht="14.25" customHeight="1" x14ac:dyDescent="0.25">
      <c r="D699" s="1"/>
      <c r="E699" s="1"/>
      <c r="F699" s="1"/>
    </row>
    <row r="700" spans="4:6" ht="14.25" customHeight="1" x14ac:dyDescent="0.25">
      <c r="D700" s="1"/>
      <c r="E700" s="1"/>
      <c r="F700" s="1"/>
    </row>
    <row r="701" spans="4:6" ht="14.25" customHeight="1" x14ac:dyDescent="0.25">
      <c r="D701" s="1"/>
      <c r="E701" s="1"/>
      <c r="F701" s="1"/>
    </row>
    <row r="702" spans="4:6" ht="14.25" customHeight="1" x14ac:dyDescent="0.25">
      <c r="D702" s="1"/>
      <c r="E702" s="1"/>
      <c r="F702" s="1"/>
    </row>
    <row r="703" spans="4:6" ht="14.25" customHeight="1" x14ac:dyDescent="0.25">
      <c r="D703" s="1"/>
      <c r="E703" s="1"/>
      <c r="F703" s="1"/>
    </row>
    <row r="704" spans="4:6" ht="14.25" customHeight="1" x14ac:dyDescent="0.25">
      <c r="D704" s="1"/>
      <c r="E704" s="1"/>
      <c r="F704" s="1"/>
    </row>
    <row r="705" spans="4:6" ht="14.25" customHeight="1" x14ac:dyDescent="0.25">
      <c r="D705" s="1"/>
      <c r="E705" s="1"/>
      <c r="F705" s="1"/>
    </row>
    <row r="706" spans="4:6" ht="14.25" customHeight="1" x14ac:dyDescent="0.25">
      <c r="D706" s="1"/>
      <c r="E706" s="1"/>
      <c r="F706" s="1"/>
    </row>
    <row r="707" spans="4:6" ht="14.25" customHeight="1" x14ac:dyDescent="0.25">
      <c r="D707" s="1"/>
      <c r="E707" s="1"/>
      <c r="F707" s="1"/>
    </row>
    <row r="708" spans="4:6" ht="14.25" customHeight="1" x14ac:dyDescent="0.25">
      <c r="D708" s="1"/>
      <c r="E708" s="1"/>
      <c r="F708" s="1"/>
    </row>
    <row r="709" spans="4:6" ht="14.25" customHeight="1" x14ac:dyDescent="0.25">
      <c r="D709" s="1"/>
      <c r="E709" s="1"/>
      <c r="F709" s="1"/>
    </row>
    <row r="710" spans="4:6" ht="14.25" customHeight="1" x14ac:dyDescent="0.25">
      <c r="D710" s="1"/>
      <c r="E710" s="1"/>
      <c r="F710" s="1"/>
    </row>
    <row r="711" spans="4:6" ht="14.25" customHeight="1" x14ac:dyDescent="0.25">
      <c r="D711" s="1"/>
      <c r="E711" s="1"/>
      <c r="F711" s="1"/>
    </row>
    <row r="712" spans="4:6" ht="14.25" customHeight="1" x14ac:dyDescent="0.25">
      <c r="D712" s="1"/>
      <c r="E712" s="1"/>
      <c r="F712" s="1"/>
    </row>
    <row r="713" spans="4:6" ht="14.25" customHeight="1" x14ac:dyDescent="0.25">
      <c r="D713" s="1"/>
      <c r="E713" s="1"/>
      <c r="F713" s="1"/>
    </row>
    <row r="714" spans="4:6" ht="14.25" customHeight="1" x14ac:dyDescent="0.25">
      <c r="D714" s="1"/>
      <c r="E714" s="1"/>
      <c r="F714" s="1"/>
    </row>
    <row r="715" spans="4:6" ht="14.25" customHeight="1" x14ac:dyDescent="0.25">
      <c r="D715" s="1"/>
      <c r="E715" s="1"/>
      <c r="F715" s="1"/>
    </row>
    <row r="716" spans="4:6" ht="14.25" customHeight="1" x14ac:dyDescent="0.25">
      <c r="D716" s="1"/>
      <c r="E716" s="1"/>
      <c r="F716" s="1"/>
    </row>
    <row r="717" spans="4:6" ht="14.25" customHeight="1" x14ac:dyDescent="0.25">
      <c r="D717" s="1"/>
      <c r="E717" s="1"/>
      <c r="F717" s="1"/>
    </row>
    <row r="718" spans="4:6" ht="14.25" customHeight="1" x14ac:dyDescent="0.25">
      <c r="D718" s="1"/>
      <c r="E718" s="1"/>
      <c r="F718" s="1"/>
    </row>
    <row r="719" spans="4:6" ht="14.25" customHeight="1" x14ac:dyDescent="0.25">
      <c r="D719" s="1"/>
      <c r="E719" s="1"/>
      <c r="F719" s="1"/>
    </row>
    <row r="720" spans="4:6" ht="14.25" customHeight="1" x14ac:dyDescent="0.25">
      <c r="D720" s="1"/>
      <c r="E720" s="1"/>
      <c r="F720" s="1"/>
    </row>
    <row r="721" spans="4:6" ht="14.25" customHeight="1" x14ac:dyDescent="0.25">
      <c r="D721" s="1"/>
      <c r="E721" s="1"/>
      <c r="F721" s="1"/>
    </row>
    <row r="722" spans="4:6" ht="14.25" customHeight="1" x14ac:dyDescent="0.25">
      <c r="D722" s="1"/>
      <c r="E722" s="1"/>
      <c r="F722" s="1"/>
    </row>
    <row r="723" spans="4:6" ht="14.25" customHeight="1" x14ac:dyDescent="0.25">
      <c r="D723" s="1"/>
      <c r="E723" s="1"/>
      <c r="F723" s="1"/>
    </row>
    <row r="724" spans="4:6" ht="14.25" customHeight="1" x14ac:dyDescent="0.25">
      <c r="D724" s="1"/>
      <c r="E724" s="1"/>
      <c r="F724" s="1"/>
    </row>
    <row r="725" spans="4:6" ht="14.25" customHeight="1" x14ac:dyDescent="0.25">
      <c r="D725" s="1"/>
      <c r="E725" s="1"/>
      <c r="F725" s="1"/>
    </row>
    <row r="726" spans="4:6" ht="14.25" customHeight="1" x14ac:dyDescent="0.25">
      <c r="D726" s="1"/>
      <c r="E726" s="1"/>
      <c r="F726" s="1"/>
    </row>
    <row r="727" spans="4:6" ht="14.25" customHeight="1" x14ac:dyDescent="0.25">
      <c r="D727" s="1"/>
      <c r="E727" s="1"/>
      <c r="F727" s="1"/>
    </row>
    <row r="728" spans="4:6" ht="14.25" customHeight="1" x14ac:dyDescent="0.25">
      <c r="D728" s="1"/>
      <c r="E728" s="1"/>
      <c r="F728" s="1"/>
    </row>
    <row r="729" spans="4:6" ht="14.25" customHeight="1" x14ac:dyDescent="0.25">
      <c r="D729" s="1"/>
      <c r="E729" s="1"/>
      <c r="F729" s="1"/>
    </row>
    <row r="730" spans="4:6" ht="14.25" customHeight="1" x14ac:dyDescent="0.25">
      <c r="D730" s="1"/>
      <c r="E730" s="1"/>
      <c r="F730" s="1"/>
    </row>
    <row r="731" spans="4:6" ht="14.25" customHeight="1" x14ac:dyDescent="0.25">
      <c r="D731" s="1"/>
      <c r="E731" s="1"/>
      <c r="F731" s="1"/>
    </row>
    <row r="732" spans="4:6" ht="14.25" customHeight="1" x14ac:dyDescent="0.25">
      <c r="D732" s="1"/>
      <c r="E732" s="1"/>
      <c r="F732" s="1"/>
    </row>
    <row r="733" spans="4:6" ht="14.25" customHeight="1" x14ac:dyDescent="0.25">
      <c r="D733" s="1"/>
      <c r="E733" s="1"/>
      <c r="F733" s="1"/>
    </row>
    <row r="734" spans="4:6" ht="14.25" customHeight="1" x14ac:dyDescent="0.25">
      <c r="D734" s="1"/>
      <c r="E734" s="1"/>
      <c r="F734" s="1"/>
    </row>
    <row r="735" spans="4:6" ht="14.25" customHeight="1" x14ac:dyDescent="0.25">
      <c r="D735" s="1"/>
      <c r="E735" s="1"/>
      <c r="F735" s="1"/>
    </row>
    <row r="736" spans="4:6" ht="14.25" customHeight="1" x14ac:dyDescent="0.25">
      <c r="D736" s="1"/>
      <c r="E736" s="1"/>
      <c r="F736" s="1"/>
    </row>
    <row r="737" spans="4:6" ht="14.25" customHeight="1" x14ac:dyDescent="0.25">
      <c r="D737" s="1"/>
      <c r="E737" s="1"/>
      <c r="F737" s="1"/>
    </row>
    <row r="738" spans="4:6" ht="14.25" customHeight="1" x14ac:dyDescent="0.25">
      <c r="D738" s="1"/>
      <c r="E738" s="1"/>
      <c r="F738" s="1"/>
    </row>
    <row r="739" spans="4:6" ht="14.25" customHeight="1" x14ac:dyDescent="0.25">
      <c r="D739" s="1"/>
      <c r="E739" s="1"/>
      <c r="F739" s="1"/>
    </row>
    <row r="740" spans="4:6" ht="14.25" customHeight="1" x14ac:dyDescent="0.25">
      <c r="D740" s="1"/>
      <c r="E740" s="1"/>
      <c r="F740" s="1"/>
    </row>
    <row r="741" spans="4:6" ht="14.25" customHeight="1" x14ac:dyDescent="0.25">
      <c r="D741" s="1"/>
      <c r="E741" s="1"/>
      <c r="F741" s="1"/>
    </row>
    <row r="742" spans="4:6" ht="14.25" customHeight="1" x14ac:dyDescent="0.25">
      <c r="D742" s="1"/>
      <c r="E742" s="1"/>
      <c r="F742" s="1"/>
    </row>
    <row r="743" spans="4:6" ht="14.25" customHeight="1" x14ac:dyDescent="0.25">
      <c r="D743" s="1"/>
      <c r="E743" s="1"/>
      <c r="F743" s="1"/>
    </row>
    <row r="744" spans="4:6" ht="14.25" customHeight="1" x14ac:dyDescent="0.25">
      <c r="D744" s="1"/>
      <c r="E744" s="1"/>
      <c r="F744" s="1"/>
    </row>
    <row r="745" spans="4:6" ht="14.25" customHeight="1" x14ac:dyDescent="0.25">
      <c r="D745" s="1"/>
      <c r="E745" s="1"/>
      <c r="F745" s="1"/>
    </row>
    <row r="746" spans="4:6" ht="14.25" customHeight="1" x14ac:dyDescent="0.25">
      <c r="D746" s="1"/>
      <c r="E746" s="1"/>
      <c r="F746" s="1"/>
    </row>
    <row r="747" spans="4:6" ht="14.25" customHeight="1" x14ac:dyDescent="0.25">
      <c r="D747" s="1"/>
      <c r="E747" s="1"/>
      <c r="F747" s="1"/>
    </row>
    <row r="748" spans="4:6" ht="14.25" customHeight="1" x14ac:dyDescent="0.25">
      <c r="D748" s="1"/>
      <c r="E748" s="1"/>
      <c r="F748" s="1"/>
    </row>
    <row r="749" spans="4:6" ht="14.25" customHeight="1" x14ac:dyDescent="0.25">
      <c r="D749" s="1"/>
      <c r="E749" s="1"/>
      <c r="F749" s="1"/>
    </row>
    <row r="750" spans="4:6" ht="14.25" customHeight="1" x14ac:dyDescent="0.25">
      <c r="D750" s="1"/>
      <c r="E750" s="1"/>
      <c r="F750" s="1"/>
    </row>
    <row r="751" spans="4:6" ht="14.25" customHeight="1" x14ac:dyDescent="0.25">
      <c r="D751" s="1"/>
      <c r="E751" s="1"/>
      <c r="F751" s="1"/>
    </row>
    <row r="752" spans="4:6" ht="14.25" customHeight="1" x14ac:dyDescent="0.25">
      <c r="D752" s="1"/>
      <c r="E752" s="1"/>
      <c r="F752" s="1"/>
    </row>
    <row r="753" spans="4:6" ht="14.25" customHeight="1" x14ac:dyDescent="0.25">
      <c r="D753" s="1"/>
      <c r="E753" s="1"/>
      <c r="F753" s="1"/>
    </row>
    <row r="754" spans="4:6" ht="14.25" customHeight="1" x14ac:dyDescent="0.25">
      <c r="D754" s="1"/>
      <c r="E754" s="1"/>
      <c r="F754" s="1"/>
    </row>
    <row r="755" spans="4:6" ht="14.25" customHeight="1" x14ac:dyDescent="0.25">
      <c r="D755" s="1"/>
      <c r="E755" s="1"/>
      <c r="F755" s="1"/>
    </row>
    <row r="756" spans="4:6" ht="14.25" customHeight="1" x14ac:dyDescent="0.25">
      <c r="D756" s="1"/>
      <c r="E756" s="1"/>
      <c r="F756" s="1"/>
    </row>
    <row r="757" spans="4:6" ht="14.25" customHeight="1" x14ac:dyDescent="0.25">
      <c r="D757" s="1"/>
      <c r="E757" s="1"/>
      <c r="F757" s="1"/>
    </row>
    <row r="758" spans="4:6" ht="14.25" customHeight="1" x14ac:dyDescent="0.25">
      <c r="D758" s="1"/>
      <c r="E758" s="1"/>
      <c r="F758" s="1"/>
    </row>
    <row r="759" spans="4:6" ht="14.25" customHeight="1" x14ac:dyDescent="0.25">
      <c r="D759" s="1"/>
      <c r="E759" s="1"/>
      <c r="F759" s="1"/>
    </row>
    <row r="760" spans="4:6" ht="14.25" customHeight="1" x14ac:dyDescent="0.25">
      <c r="D760" s="1"/>
      <c r="E760" s="1"/>
      <c r="F760" s="1"/>
    </row>
    <row r="761" spans="4:6" ht="14.25" customHeight="1" x14ac:dyDescent="0.25">
      <c r="D761" s="1"/>
      <c r="E761" s="1"/>
      <c r="F761" s="1"/>
    </row>
    <row r="762" spans="4:6" ht="14.25" customHeight="1" x14ac:dyDescent="0.25">
      <c r="D762" s="1"/>
      <c r="E762" s="1"/>
      <c r="F762" s="1"/>
    </row>
    <row r="763" spans="4:6" ht="14.25" customHeight="1" x14ac:dyDescent="0.25">
      <c r="D763" s="1"/>
      <c r="E763" s="1"/>
      <c r="F763" s="1"/>
    </row>
    <row r="764" spans="4:6" ht="14.25" customHeight="1" x14ac:dyDescent="0.25">
      <c r="D764" s="1"/>
      <c r="E764" s="1"/>
      <c r="F764" s="1"/>
    </row>
    <row r="765" spans="4:6" ht="14.25" customHeight="1" x14ac:dyDescent="0.25">
      <c r="D765" s="1"/>
      <c r="E765" s="1"/>
      <c r="F765" s="1"/>
    </row>
    <row r="766" spans="4:6" ht="14.25" customHeight="1" x14ac:dyDescent="0.25">
      <c r="D766" s="1"/>
      <c r="E766" s="1"/>
      <c r="F766" s="1"/>
    </row>
    <row r="767" spans="4:6" ht="14.25" customHeight="1" x14ac:dyDescent="0.25">
      <c r="D767" s="1"/>
      <c r="E767" s="1"/>
      <c r="F767" s="1"/>
    </row>
    <row r="768" spans="4:6" ht="14.25" customHeight="1" x14ac:dyDescent="0.25">
      <c r="D768" s="1"/>
      <c r="E768" s="1"/>
      <c r="F768" s="1"/>
    </row>
    <row r="769" spans="4:6" ht="14.25" customHeight="1" x14ac:dyDescent="0.25">
      <c r="D769" s="1"/>
      <c r="E769" s="1"/>
      <c r="F769" s="1"/>
    </row>
    <row r="770" spans="4:6" ht="14.25" customHeight="1" x14ac:dyDescent="0.25">
      <c r="D770" s="1"/>
      <c r="E770" s="1"/>
      <c r="F770" s="1"/>
    </row>
    <row r="771" spans="4:6" ht="14.25" customHeight="1" x14ac:dyDescent="0.25">
      <c r="D771" s="1"/>
      <c r="E771" s="1"/>
      <c r="F771" s="1"/>
    </row>
    <row r="772" spans="4:6" ht="14.25" customHeight="1" x14ac:dyDescent="0.25">
      <c r="D772" s="1"/>
      <c r="E772" s="1"/>
      <c r="F772" s="1"/>
    </row>
    <row r="773" spans="4:6" ht="14.25" customHeight="1" x14ac:dyDescent="0.25">
      <c r="D773" s="1"/>
      <c r="E773" s="1"/>
      <c r="F773" s="1"/>
    </row>
    <row r="774" spans="4:6" ht="14.25" customHeight="1" x14ac:dyDescent="0.25">
      <c r="D774" s="1"/>
      <c r="E774" s="1"/>
      <c r="F774" s="1"/>
    </row>
    <row r="775" spans="4:6" ht="14.25" customHeight="1" x14ac:dyDescent="0.25">
      <c r="D775" s="1"/>
      <c r="E775" s="1"/>
      <c r="F775" s="1"/>
    </row>
    <row r="776" spans="4:6" ht="14.25" customHeight="1" x14ac:dyDescent="0.25">
      <c r="D776" s="1"/>
      <c r="E776" s="1"/>
      <c r="F776" s="1"/>
    </row>
    <row r="777" spans="4:6" ht="14.25" customHeight="1" x14ac:dyDescent="0.25">
      <c r="D777" s="1"/>
      <c r="E777" s="1"/>
      <c r="F777" s="1"/>
    </row>
    <row r="778" spans="4:6" ht="14.25" customHeight="1" x14ac:dyDescent="0.25">
      <c r="D778" s="1"/>
      <c r="E778" s="1"/>
      <c r="F778" s="1"/>
    </row>
    <row r="779" spans="4:6" ht="14.25" customHeight="1" x14ac:dyDescent="0.25">
      <c r="D779" s="1"/>
      <c r="E779" s="1"/>
      <c r="F779" s="1"/>
    </row>
    <row r="780" spans="4:6" ht="14.25" customHeight="1" x14ac:dyDescent="0.25">
      <c r="D780" s="1"/>
      <c r="E780" s="1"/>
      <c r="F780" s="1"/>
    </row>
    <row r="781" spans="4:6" ht="14.25" customHeight="1" x14ac:dyDescent="0.25">
      <c r="D781" s="1"/>
      <c r="E781" s="1"/>
      <c r="F781" s="1"/>
    </row>
    <row r="782" spans="4:6" ht="14.25" customHeight="1" x14ac:dyDescent="0.25">
      <c r="D782" s="1"/>
      <c r="E782" s="1"/>
      <c r="F782" s="1"/>
    </row>
    <row r="783" spans="4:6" ht="14.25" customHeight="1" x14ac:dyDescent="0.25">
      <c r="D783" s="1"/>
      <c r="E783" s="1"/>
      <c r="F783" s="1"/>
    </row>
    <row r="784" spans="4:6" ht="14.25" customHeight="1" x14ac:dyDescent="0.25">
      <c r="D784" s="1"/>
      <c r="E784" s="1"/>
      <c r="F784" s="1"/>
    </row>
    <row r="785" spans="4:6" ht="14.25" customHeight="1" x14ac:dyDescent="0.25">
      <c r="D785" s="1"/>
      <c r="E785" s="1"/>
      <c r="F785" s="1"/>
    </row>
    <row r="786" spans="4:6" ht="14.25" customHeight="1" x14ac:dyDescent="0.25">
      <c r="D786" s="1"/>
      <c r="E786" s="1"/>
      <c r="F786" s="1"/>
    </row>
    <row r="787" spans="4:6" ht="14.25" customHeight="1" x14ac:dyDescent="0.25">
      <c r="D787" s="1"/>
      <c r="E787" s="1"/>
      <c r="F787" s="1"/>
    </row>
    <row r="788" spans="4:6" ht="14.25" customHeight="1" x14ac:dyDescent="0.25">
      <c r="D788" s="1"/>
      <c r="E788" s="1"/>
      <c r="F788" s="1"/>
    </row>
    <row r="789" spans="4:6" ht="14.25" customHeight="1" x14ac:dyDescent="0.25">
      <c r="D789" s="1"/>
      <c r="E789" s="1"/>
      <c r="F789" s="1"/>
    </row>
    <row r="790" spans="4:6" ht="14.25" customHeight="1" x14ac:dyDescent="0.25">
      <c r="D790" s="1"/>
      <c r="E790" s="1"/>
      <c r="F790" s="1"/>
    </row>
    <row r="791" spans="4:6" ht="14.25" customHeight="1" x14ac:dyDescent="0.25">
      <c r="D791" s="1"/>
      <c r="E791" s="1"/>
      <c r="F791" s="1"/>
    </row>
    <row r="792" spans="4:6" ht="14.25" customHeight="1" x14ac:dyDescent="0.25">
      <c r="D792" s="1"/>
      <c r="E792" s="1"/>
      <c r="F792" s="1"/>
    </row>
    <row r="793" spans="4:6" ht="14.25" customHeight="1" x14ac:dyDescent="0.25">
      <c r="D793" s="1"/>
      <c r="E793" s="1"/>
      <c r="F793" s="1"/>
    </row>
    <row r="794" spans="4:6" ht="14.25" customHeight="1" x14ac:dyDescent="0.25">
      <c r="D794" s="1"/>
      <c r="E794" s="1"/>
      <c r="F794" s="1"/>
    </row>
    <row r="795" spans="4:6" ht="14.25" customHeight="1" x14ac:dyDescent="0.25">
      <c r="D795" s="1"/>
      <c r="E795" s="1"/>
      <c r="F795" s="1"/>
    </row>
    <row r="796" spans="4:6" ht="14.25" customHeight="1" x14ac:dyDescent="0.25">
      <c r="D796" s="1"/>
      <c r="E796" s="1"/>
      <c r="F796" s="1"/>
    </row>
    <row r="797" spans="4:6" ht="14.25" customHeight="1" x14ac:dyDescent="0.25">
      <c r="D797" s="1"/>
      <c r="E797" s="1"/>
      <c r="F797" s="1"/>
    </row>
    <row r="798" spans="4:6" ht="14.25" customHeight="1" x14ac:dyDescent="0.25">
      <c r="D798" s="1"/>
      <c r="E798" s="1"/>
      <c r="F798" s="1"/>
    </row>
    <row r="799" spans="4:6" ht="14.25" customHeight="1" x14ac:dyDescent="0.25">
      <c r="D799" s="1"/>
      <c r="E799" s="1"/>
      <c r="F799" s="1"/>
    </row>
    <row r="800" spans="4:6" ht="14.25" customHeight="1" x14ac:dyDescent="0.25">
      <c r="D800" s="1"/>
      <c r="E800" s="1"/>
      <c r="F800" s="1"/>
    </row>
    <row r="801" spans="4:6" ht="14.25" customHeight="1" x14ac:dyDescent="0.25">
      <c r="D801" s="1"/>
      <c r="E801" s="1"/>
      <c r="F801" s="1"/>
    </row>
    <row r="802" spans="4:6" ht="14.25" customHeight="1" x14ac:dyDescent="0.25">
      <c r="D802" s="1"/>
      <c r="E802" s="1"/>
      <c r="F802" s="1"/>
    </row>
    <row r="803" spans="4:6" ht="14.25" customHeight="1" x14ac:dyDescent="0.25">
      <c r="D803" s="1"/>
      <c r="E803" s="1"/>
      <c r="F803" s="1"/>
    </row>
    <row r="804" spans="4:6" ht="14.25" customHeight="1" x14ac:dyDescent="0.25">
      <c r="D804" s="1"/>
      <c r="E804" s="1"/>
      <c r="F804" s="1"/>
    </row>
    <row r="805" spans="4:6" ht="14.25" customHeight="1" x14ac:dyDescent="0.25">
      <c r="D805" s="1"/>
      <c r="E805" s="1"/>
      <c r="F805" s="1"/>
    </row>
    <row r="806" spans="4:6" ht="14.25" customHeight="1" x14ac:dyDescent="0.25">
      <c r="D806" s="1"/>
      <c r="E806" s="1"/>
      <c r="F806" s="1"/>
    </row>
    <row r="807" spans="4:6" ht="14.25" customHeight="1" x14ac:dyDescent="0.25">
      <c r="D807" s="1"/>
      <c r="E807" s="1"/>
      <c r="F807" s="1"/>
    </row>
    <row r="808" spans="4:6" ht="14.25" customHeight="1" x14ac:dyDescent="0.25">
      <c r="D808" s="1"/>
      <c r="E808" s="1"/>
      <c r="F808" s="1"/>
    </row>
    <row r="809" spans="4:6" ht="14.25" customHeight="1" x14ac:dyDescent="0.25">
      <c r="D809" s="1"/>
      <c r="E809" s="1"/>
      <c r="F809" s="1"/>
    </row>
    <row r="810" spans="4:6" ht="14.25" customHeight="1" x14ac:dyDescent="0.25">
      <c r="D810" s="1"/>
      <c r="E810" s="1"/>
      <c r="F810" s="1"/>
    </row>
    <row r="811" spans="4:6" ht="14.25" customHeight="1" x14ac:dyDescent="0.25">
      <c r="D811" s="1"/>
      <c r="E811" s="1"/>
      <c r="F811" s="1"/>
    </row>
    <row r="812" spans="4:6" ht="14.25" customHeight="1" x14ac:dyDescent="0.25">
      <c r="D812" s="1"/>
      <c r="E812" s="1"/>
      <c r="F812" s="1"/>
    </row>
    <row r="813" spans="4:6" ht="14.25" customHeight="1" x14ac:dyDescent="0.25">
      <c r="D813" s="1"/>
      <c r="E813" s="1"/>
      <c r="F813" s="1"/>
    </row>
    <row r="814" spans="4:6" ht="14.25" customHeight="1" x14ac:dyDescent="0.25">
      <c r="D814" s="1"/>
      <c r="E814" s="1"/>
      <c r="F814" s="1"/>
    </row>
    <row r="815" spans="4:6" ht="14.25" customHeight="1" x14ac:dyDescent="0.25">
      <c r="D815" s="1"/>
      <c r="E815" s="1"/>
      <c r="F815" s="1"/>
    </row>
    <row r="816" spans="4:6" ht="14.25" customHeight="1" x14ac:dyDescent="0.25">
      <c r="D816" s="1"/>
      <c r="E816" s="1"/>
      <c r="F816" s="1"/>
    </row>
    <row r="817" spans="4:6" ht="14.25" customHeight="1" x14ac:dyDescent="0.25">
      <c r="D817" s="1"/>
      <c r="E817" s="1"/>
      <c r="F817" s="1"/>
    </row>
    <row r="818" spans="4:6" ht="14.25" customHeight="1" x14ac:dyDescent="0.25">
      <c r="D818" s="1"/>
      <c r="E818" s="1"/>
      <c r="F818" s="1"/>
    </row>
    <row r="819" spans="4:6" ht="14.25" customHeight="1" x14ac:dyDescent="0.25">
      <c r="D819" s="1"/>
      <c r="E819" s="1"/>
      <c r="F819" s="1"/>
    </row>
    <row r="820" spans="4:6" ht="14.25" customHeight="1" x14ac:dyDescent="0.25">
      <c r="D820" s="1"/>
      <c r="E820" s="1"/>
      <c r="F820" s="1"/>
    </row>
    <row r="821" spans="4:6" ht="14.25" customHeight="1" x14ac:dyDescent="0.25">
      <c r="D821" s="1"/>
      <c r="E821" s="1"/>
      <c r="F821" s="1"/>
    </row>
    <row r="822" spans="4:6" ht="14.25" customHeight="1" x14ac:dyDescent="0.25">
      <c r="D822" s="1"/>
      <c r="E822" s="1"/>
      <c r="F822" s="1"/>
    </row>
    <row r="823" spans="4:6" ht="14.25" customHeight="1" x14ac:dyDescent="0.25">
      <c r="D823" s="1"/>
      <c r="E823" s="1"/>
      <c r="F823" s="1"/>
    </row>
    <row r="824" spans="4:6" ht="14.25" customHeight="1" x14ac:dyDescent="0.25">
      <c r="D824" s="1"/>
      <c r="E824" s="1"/>
      <c r="F824" s="1"/>
    </row>
    <row r="825" spans="4:6" ht="14.25" customHeight="1" x14ac:dyDescent="0.25">
      <c r="D825" s="1"/>
      <c r="E825" s="1"/>
      <c r="F825" s="1"/>
    </row>
    <row r="826" spans="4:6" ht="14.25" customHeight="1" x14ac:dyDescent="0.25">
      <c r="D826" s="1"/>
      <c r="E826" s="1"/>
      <c r="F826" s="1"/>
    </row>
    <row r="827" spans="4:6" ht="14.25" customHeight="1" x14ac:dyDescent="0.25">
      <c r="D827" s="1"/>
      <c r="E827" s="1"/>
      <c r="F827" s="1"/>
    </row>
    <row r="828" spans="4:6" ht="14.25" customHeight="1" x14ac:dyDescent="0.25">
      <c r="D828" s="1"/>
      <c r="E828" s="1"/>
      <c r="F828" s="1"/>
    </row>
    <row r="829" spans="4:6" ht="14.25" customHeight="1" x14ac:dyDescent="0.25">
      <c r="D829" s="1"/>
      <c r="E829" s="1"/>
      <c r="F829" s="1"/>
    </row>
    <row r="830" spans="4:6" ht="14.25" customHeight="1" x14ac:dyDescent="0.25">
      <c r="D830" s="1"/>
      <c r="E830" s="1"/>
      <c r="F830" s="1"/>
    </row>
    <row r="831" spans="4:6" ht="14.25" customHeight="1" x14ac:dyDescent="0.25">
      <c r="D831" s="1"/>
      <c r="E831" s="1"/>
      <c r="F831" s="1"/>
    </row>
    <row r="832" spans="4:6" ht="14.25" customHeight="1" x14ac:dyDescent="0.25">
      <c r="D832" s="1"/>
      <c r="E832" s="1"/>
      <c r="F832" s="1"/>
    </row>
    <row r="833" spans="4:6" ht="14.25" customHeight="1" x14ac:dyDescent="0.25">
      <c r="D833" s="1"/>
      <c r="E833" s="1"/>
      <c r="F833" s="1"/>
    </row>
    <row r="834" spans="4:6" ht="14.25" customHeight="1" x14ac:dyDescent="0.25">
      <c r="D834" s="1"/>
      <c r="E834" s="1"/>
      <c r="F834" s="1"/>
    </row>
    <row r="835" spans="4:6" ht="14.25" customHeight="1" x14ac:dyDescent="0.25">
      <c r="D835" s="1"/>
      <c r="E835" s="1"/>
      <c r="F835" s="1"/>
    </row>
    <row r="836" spans="4:6" ht="14.25" customHeight="1" x14ac:dyDescent="0.25">
      <c r="D836" s="1"/>
      <c r="E836" s="1"/>
      <c r="F836" s="1"/>
    </row>
    <row r="837" spans="4:6" ht="14.25" customHeight="1" x14ac:dyDescent="0.25">
      <c r="D837" s="1"/>
      <c r="E837" s="1"/>
      <c r="F837" s="1"/>
    </row>
    <row r="838" spans="4:6" ht="14.25" customHeight="1" x14ac:dyDescent="0.25">
      <c r="D838" s="1"/>
      <c r="E838" s="1"/>
      <c r="F838" s="1"/>
    </row>
    <row r="839" spans="4:6" ht="14.25" customHeight="1" x14ac:dyDescent="0.25">
      <c r="D839" s="1"/>
      <c r="E839" s="1"/>
      <c r="F839" s="1"/>
    </row>
    <row r="840" spans="4:6" ht="14.25" customHeight="1" x14ac:dyDescent="0.25">
      <c r="D840" s="1"/>
      <c r="E840" s="1"/>
      <c r="F840" s="1"/>
    </row>
    <row r="841" spans="4:6" ht="14.25" customHeight="1" x14ac:dyDescent="0.25">
      <c r="D841" s="1"/>
      <c r="E841" s="1"/>
      <c r="F841" s="1"/>
    </row>
    <row r="842" spans="4:6" ht="14.25" customHeight="1" x14ac:dyDescent="0.25">
      <c r="D842" s="1"/>
      <c r="E842" s="1"/>
      <c r="F842" s="1"/>
    </row>
    <row r="843" spans="4:6" ht="14.25" customHeight="1" x14ac:dyDescent="0.25">
      <c r="D843" s="1"/>
      <c r="E843" s="1"/>
      <c r="F843" s="1"/>
    </row>
    <row r="844" spans="4:6" ht="14.25" customHeight="1" x14ac:dyDescent="0.25">
      <c r="D844" s="1"/>
      <c r="E844" s="1"/>
      <c r="F844" s="1"/>
    </row>
    <row r="845" spans="4:6" ht="14.25" customHeight="1" x14ac:dyDescent="0.25">
      <c r="D845" s="1"/>
      <c r="E845" s="1"/>
      <c r="F845" s="1"/>
    </row>
    <row r="846" spans="4:6" ht="14.25" customHeight="1" x14ac:dyDescent="0.25">
      <c r="D846" s="1"/>
      <c r="E846" s="1"/>
      <c r="F846" s="1"/>
    </row>
    <row r="847" spans="4:6" ht="14.25" customHeight="1" x14ac:dyDescent="0.25">
      <c r="D847" s="1"/>
      <c r="E847" s="1"/>
      <c r="F847" s="1"/>
    </row>
    <row r="848" spans="4:6" ht="14.25" customHeight="1" x14ac:dyDescent="0.25">
      <c r="D848" s="1"/>
      <c r="E848" s="1"/>
      <c r="F848" s="1"/>
    </row>
    <row r="849" spans="4:6" ht="14.25" customHeight="1" x14ac:dyDescent="0.25">
      <c r="D849" s="1"/>
      <c r="E849" s="1"/>
      <c r="F849" s="1"/>
    </row>
    <row r="850" spans="4:6" ht="14.25" customHeight="1" x14ac:dyDescent="0.25">
      <c r="D850" s="1"/>
      <c r="E850" s="1"/>
      <c r="F850" s="1"/>
    </row>
    <row r="851" spans="4:6" ht="14.25" customHeight="1" x14ac:dyDescent="0.25">
      <c r="D851" s="1"/>
      <c r="E851" s="1"/>
      <c r="F851" s="1"/>
    </row>
    <row r="852" spans="4:6" ht="14.25" customHeight="1" x14ac:dyDescent="0.25">
      <c r="D852" s="1"/>
      <c r="E852" s="1"/>
      <c r="F852" s="1"/>
    </row>
    <row r="853" spans="4:6" ht="14.25" customHeight="1" x14ac:dyDescent="0.25">
      <c r="D853" s="1"/>
      <c r="E853" s="1"/>
      <c r="F853" s="1"/>
    </row>
    <row r="854" spans="4:6" ht="14.25" customHeight="1" x14ac:dyDescent="0.25">
      <c r="D854" s="1"/>
      <c r="E854" s="1"/>
      <c r="F854" s="1"/>
    </row>
    <row r="855" spans="4:6" ht="14.25" customHeight="1" x14ac:dyDescent="0.25">
      <c r="D855" s="1"/>
      <c r="E855" s="1"/>
      <c r="F855" s="1"/>
    </row>
    <row r="856" spans="4:6" ht="14.25" customHeight="1" x14ac:dyDescent="0.25">
      <c r="D856" s="1"/>
      <c r="E856" s="1"/>
      <c r="F856" s="1"/>
    </row>
    <row r="857" spans="4:6" ht="14.25" customHeight="1" x14ac:dyDescent="0.25">
      <c r="D857" s="1"/>
      <c r="E857" s="1"/>
      <c r="F857" s="1"/>
    </row>
    <row r="858" spans="4:6" ht="14.25" customHeight="1" x14ac:dyDescent="0.25">
      <c r="D858" s="1"/>
      <c r="E858" s="1"/>
      <c r="F858" s="1"/>
    </row>
    <row r="859" spans="4:6" ht="14.25" customHeight="1" x14ac:dyDescent="0.25">
      <c r="D859" s="1"/>
      <c r="E859" s="1"/>
      <c r="F859" s="1"/>
    </row>
    <row r="860" spans="4:6" ht="14.25" customHeight="1" x14ac:dyDescent="0.25">
      <c r="D860" s="1"/>
      <c r="E860" s="1"/>
      <c r="F860" s="1"/>
    </row>
    <row r="861" spans="4:6" ht="14.25" customHeight="1" x14ac:dyDescent="0.25">
      <c r="D861" s="1"/>
      <c r="E861" s="1"/>
      <c r="F861" s="1"/>
    </row>
    <row r="862" spans="4:6" ht="14.25" customHeight="1" x14ac:dyDescent="0.25">
      <c r="D862" s="1"/>
      <c r="E862" s="1"/>
      <c r="F862" s="1"/>
    </row>
    <row r="863" spans="4:6" ht="14.25" customHeight="1" x14ac:dyDescent="0.25">
      <c r="D863" s="1"/>
      <c r="E863" s="1"/>
      <c r="F863" s="1"/>
    </row>
    <row r="864" spans="4:6" ht="14.25" customHeight="1" x14ac:dyDescent="0.25">
      <c r="D864" s="1"/>
      <c r="E864" s="1"/>
      <c r="F864" s="1"/>
    </row>
    <row r="865" spans="4:6" ht="14.25" customHeight="1" x14ac:dyDescent="0.25">
      <c r="D865" s="1"/>
      <c r="E865" s="1"/>
      <c r="F865" s="1"/>
    </row>
    <row r="866" spans="4:6" ht="14.25" customHeight="1" x14ac:dyDescent="0.25">
      <c r="D866" s="1"/>
      <c r="E866" s="1"/>
      <c r="F866" s="1"/>
    </row>
    <row r="867" spans="4:6" ht="14.25" customHeight="1" x14ac:dyDescent="0.25">
      <c r="D867" s="1"/>
      <c r="E867" s="1"/>
      <c r="F867" s="1"/>
    </row>
    <row r="868" spans="4:6" ht="14.25" customHeight="1" x14ac:dyDescent="0.25">
      <c r="D868" s="1"/>
      <c r="E868" s="1"/>
      <c r="F868" s="1"/>
    </row>
    <row r="869" spans="4:6" ht="14.25" customHeight="1" x14ac:dyDescent="0.25">
      <c r="D869" s="1"/>
      <c r="E869" s="1"/>
      <c r="F869" s="1"/>
    </row>
    <row r="870" spans="4:6" ht="14.25" customHeight="1" x14ac:dyDescent="0.25">
      <c r="D870" s="1"/>
      <c r="E870" s="1"/>
      <c r="F870" s="1"/>
    </row>
    <row r="871" spans="4:6" ht="14.25" customHeight="1" x14ac:dyDescent="0.25">
      <c r="D871" s="1"/>
      <c r="E871" s="1"/>
      <c r="F871" s="1"/>
    </row>
    <row r="872" spans="4:6" ht="14.25" customHeight="1" x14ac:dyDescent="0.25">
      <c r="D872" s="1"/>
      <c r="E872" s="1"/>
      <c r="F872" s="1"/>
    </row>
    <row r="873" spans="4:6" ht="14.25" customHeight="1" x14ac:dyDescent="0.25">
      <c r="D873" s="1"/>
      <c r="E873" s="1"/>
      <c r="F873" s="1"/>
    </row>
    <row r="874" spans="4:6" ht="14.25" customHeight="1" x14ac:dyDescent="0.25">
      <c r="D874" s="1"/>
      <c r="E874" s="1"/>
      <c r="F874" s="1"/>
    </row>
    <row r="875" spans="4:6" ht="14.25" customHeight="1" x14ac:dyDescent="0.25">
      <c r="D875" s="1"/>
      <c r="E875" s="1"/>
      <c r="F875" s="1"/>
    </row>
    <row r="876" spans="4:6" ht="14.25" customHeight="1" x14ac:dyDescent="0.25">
      <c r="D876" s="1"/>
      <c r="E876" s="1"/>
      <c r="F876" s="1"/>
    </row>
    <row r="877" spans="4:6" ht="14.25" customHeight="1" x14ac:dyDescent="0.25">
      <c r="D877" s="1"/>
      <c r="E877" s="1"/>
      <c r="F877" s="1"/>
    </row>
    <row r="878" spans="4:6" ht="14.25" customHeight="1" x14ac:dyDescent="0.25">
      <c r="D878" s="1"/>
      <c r="E878" s="1"/>
      <c r="F878" s="1"/>
    </row>
    <row r="879" spans="4:6" ht="14.25" customHeight="1" x14ac:dyDescent="0.25">
      <c r="D879" s="1"/>
      <c r="E879" s="1"/>
      <c r="F879" s="1"/>
    </row>
    <row r="880" spans="4:6" ht="14.25" customHeight="1" x14ac:dyDescent="0.25">
      <c r="D880" s="1"/>
      <c r="E880" s="1"/>
      <c r="F880" s="1"/>
    </row>
    <row r="881" spans="4:6" ht="14.25" customHeight="1" x14ac:dyDescent="0.25">
      <c r="D881" s="1"/>
      <c r="E881" s="1"/>
      <c r="F881" s="1"/>
    </row>
    <row r="882" spans="4:6" ht="14.25" customHeight="1" x14ac:dyDescent="0.25">
      <c r="D882" s="1"/>
      <c r="E882" s="1"/>
      <c r="F882" s="1"/>
    </row>
    <row r="883" spans="4:6" ht="14.25" customHeight="1" x14ac:dyDescent="0.25">
      <c r="D883" s="1"/>
      <c r="E883" s="1"/>
      <c r="F883" s="1"/>
    </row>
    <row r="884" spans="4:6" ht="14.25" customHeight="1" x14ac:dyDescent="0.25">
      <c r="D884" s="1"/>
      <c r="E884" s="1"/>
      <c r="F884" s="1"/>
    </row>
    <row r="885" spans="4:6" ht="14.25" customHeight="1" x14ac:dyDescent="0.25">
      <c r="D885" s="1"/>
      <c r="E885" s="1"/>
      <c r="F885" s="1"/>
    </row>
    <row r="886" spans="4:6" ht="14.25" customHeight="1" x14ac:dyDescent="0.25">
      <c r="D886" s="1"/>
      <c r="E886" s="1"/>
      <c r="F886" s="1"/>
    </row>
    <row r="887" spans="4:6" ht="14.25" customHeight="1" x14ac:dyDescent="0.25">
      <c r="D887" s="1"/>
      <c r="E887" s="1"/>
      <c r="F887" s="1"/>
    </row>
    <row r="888" spans="4:6" ht="14.25" customHeight="1" x14ac:dyDescent="0.25">
      <c r="D888" s="1"/>
      <c r="E888" s="1"/>
      <c r="F888" s="1"/>
    </row>
    <row r="889" spans="4:6" ht="14.25" customHeight="1" x14ac:dyDescent="0.25">
      <c r="D889" s="1"/>
      <c r="E889" s="1"/>
      <c r="F889" s="1"/>
    </row>
    <row r="890" spans="4:6" ht="14.25" customHeight="1" x14ac:dyDescent="0.25">
      <c r="D890" s="1"/>
      <c r="E890" s="1"/>
      <c r="F890" s="1"/>
    </row>
    <row r="891" spans="4:6" ht="14.25" customHeight="1" x14ac:dyDescent="0.25">
      <c r="D891" s="1"/>
      <c r="E891" s="1"/>
      <c r="F891" s="1"/>
    </row>
    <row r="892" spans="4:6" ht="14.25" customHeight="1" x14ac:dyDescent="0.25">
      <c r="D892" s="1"/>
      <c r="E892" s="1"/>
      <c r="F892" s="1"/>
    </row>
    <row r="893" spans="4:6" ht="14.25" customHeight="1" x14ac:dyDescent="0.25">
      <c r="D893" s="1"/>
      <c r="E893" s="1"/>
      <c r="F893" s="1"/>
    </row>
    <row r="894" spans="4:6" ht="14.25" customHeight="1" x14ac:dyDescent="0.25">
      <c r="D894" s="1"/>
      <c r="E894" s="1"/>
      <c r="F894" s="1"/>
    </row>
    <row r="895" spans="4:6" ht="14.25" customHeight="1" x14ac:dyDescent="0.25">
      <c r="D895" s="1"/>
      <c r="E895" s="1"/>
      <c r="F895" s="1"/>
    </row>
    <row r="896" spans="4:6" ht="14.25" customHeight="1" x14ac:dyDescent="0.25">
      <c r="D896" s="1"/>
      <c r="E896" s="1"/>
      <c r="F896" s="1"/>
    </row>
    <row r="897" spans="4:6" ht="14.25" customHeight="1" x14ac:dyDescent="0.25">
      <c r="D897" s="1"/>
      <c r="E897" s="1"/>
      <c r="F897" s="1"/>
    </row>
    <row r="898" spans="4:6" ht="14.25" customHeight="1" x14ac:dyDescent="0.25">
      <c r="D898" s="1"/>
      <c r="E898" s="1"/>
      <c r="F898" s="1"/>
    </row>
    <row r="899" spans="4:6" ht="14.25" customHeight="1" x14ac:dyDescent="0.25">
      <c r="D899" s="1"/>
      <c r="E899" s="1"/>
      <c r="F899" s="1"/>
    </row>
    <row r="900" spans="4:6" ht="14.25" customHeight="1" x14ac:dyDescent="0.25">
      <c r="D900" s="1"/>
      <c r="E900" s="1"/>
      <c r="F900" s="1"/>
    </row>
    <row r="901" spans="4:6" ht="14.25" customHeight="1" x14ac:dyDescent="0.25">
      <c r="D901" s="1"/>
      <c r="E901" s="1"/>
      <c r="F901" s="1"/>
    </row>
    <row r="902" spans="4:6" ht="14.25" customHeight="1" x14ac:dyDescent="0.25">
      <c r="D902" s="1"/>
      <c r="E902" s="1"/>
      <c r="F902" s="1"/>
    </row>
    <row r="903" spans="4:6" ht="14.25" customHeight="1" x14ac:dyDescent="0.25">
      <c r="D903" s="1"/>
      <c r="E903" s="1"/>
      <c r="F903" s="1"/>
    </row>
    <row r="904" spans="4:6" ht="14.25" customHeight="1" x14ac:dyDescent="0.25">
      <c r="D904" s="1"/>
      <c r="E904" s="1"/>
      <c r="F904" s="1"/>
    </row>
    <row r="905" spans="4:6" ht="14.25" customHeight="1" x14ac:dyDescent="0.25">
      <c r="D905" s="1"/>
      <c r="E905" s="1"/>
      <c r="F905" s="1"/>
    </row>
    <row r="906" spans="4:6" ht="14.25" customHeight="1" x14ac:dyDescent="0.25">
      <c r="D906" s="1"/>
      <c r="E906" s="1"/>
      <c r="F906" s="1"/>
    </row>
    <row r="907" spans="4:6" ht="14.25" customHeight="1" x14ac:dyDescent="0.25">
      <c r="D907" s="1"/>
      <c r="E907" s="1"/>
      <c r="F907" s="1"/>
    </row>
    <row r="908" spans="4:6" ht="14.25" customHeight="1" x14ac:dyDescent="0.25">
      <c r="D908" s="1"/>
      <c r="E908" s="1"/>
      <c r="F908" s="1"/>
    </row>
    <row r="909" spans="4:6" ht="14.25" customHeight="1" x14ac:dyDescent="0.25">
      <c r="D909" s="1"/>
      <c r="E909" s="1"/>
      <c r="F909" s="1"/>
    </row>
    <row r="910" spans="4:6" ht="14.25" customHeight="1" x14ac:dyDescent="0.25">
      <c r="D910" s="1"/>
      <c r="E910" s="1"/>
      <c r="F910" s="1"/>
    </row>
    <row r="911" spans="4:6" ht="14.25" customHeight="1" x14ac:dyDescent="0.25">
      <c r="D911" s="1"/>
      <c r="E911" s="1"/>
      <c r="F911" s="1"/>
    </row>
    <row r="912" spans="4:6" ht="14.25" customHeight="1" x14ac:dyDescent="0.25">
      <c r="D912" s="1"/>
      <c r="E912" s="1"/>
      <c r="F912" s="1"/>
    </row>
    <row r="913" spans="4:6" ht="14.25" customHeight="1" x14ac:dyDescent="0.25">
      <c r="D913" s="1"/>
      <c r="E913" s="1"/>
      <c r="F913" s="1"/>
    </row>
    <row r="914" spans="4:6" ht="14.25" customHeight="1" x14ac:dyDescent="0.25">
      <c r="D914" s="1"/>
      <c r="E914" s="1"/>
      <c r="F914" s="1"/>
    </row>
    <row r="915" spans="4:6" ht="14.25" customHeight="1" x14ac:dyDescent="0.25">
      <c r="D915" s="1"/>
      <c r="E915" s="1"/>
      <c r="F915" s="1"/>
    </row>
    <row r="916" spans="4:6" ht="14.25" customHeight="1" x14ac:dyDescent="0.25">
      <c r="D916" s="1"/>
      <c r="E916" s="1"/>
      <c r="F916" s="1"/>
    </row>
    <row r="917" spans="4:6" ht="14.25" customHeight="1" x14ac:dyDescent="0.25">
      <c r="D917" s="1"/>
      <c r="E917" s="1"/>
      <c r="F917" s="1"/>
    </row>
    <row r="918" spans="4:6" ht="14.25" customHeight="1" x14ac:dyDescent="0.25">
      <c r="D918" s="1"/>
      <c r="E918" s="1"/>
      <c r="F918" s="1"/>
    </row>
    <row r="919" spans="4:6" ht="14.25" customHeight="1" x14ac:dyDescent="0.25">
      <c r="D919" s="1"/>
      <c r="E919" s="1"/>
      <c r="F919" s="1"/>
    </row>
    <row r="920" spans="4:6" ht="14.25" customHeight="1" x14ac:dyDescent="0.25">
      <c r="D920" s="1"/>
      <c r="E920" s="1"/>
      <c r="F920" s="1"/>
    </row>
    <row r="921" spans="4:6" ht="14.25" customHeight="1" x14ac:dyDescent="0.25">
      <c r="D921" s="1"/>
      <c r="E921" s="1"/>
      <c r="F921" s="1"/>
    </row>
    <row r="922" spans="4:6" ht="14.25" customHeight="1" x14ac:dyDescent="0.25">
      <c r="D922" s="1"/>
      <c r="E922" s="1"/>
      <c r="F922" s="1"/>
    </row>
    <row r="923" spans="4:6" ht="14.25" customHeight="1" x14ac:dyDescent="0.25">
      <c r="D923" s="1"/>
      <c r="E923" s="1"/>
      <c r="F923" s="1"/>
    </row>
    <row r="924" spans="4:6" ht="14.25" customHeight="1" x14ac:dyDescent="0.25">
      <c r="D924" s="1"/>
      <c r="E924" s="1"/>
      <c r="F924" s="1"/>
    </row>
    <row r="925" spans="4:6" ht="14.25" customHeight="1" x14ac:dyDescent="0.25">
      <c r="D925" s="1"/>
      <c r="E925" s="1"/>
      <c r="F925" s="1"/>
    </row>
    <row r="926" spans="4:6" ht="14.25" customHeight="1" x14ac:dyDescent="0.25">
      <c r="D926" s="1"/>
      <c r="E926" s="1"/>
      <c r="F926" s="1"/>
    </row>
    <row r="927" spans="4:6" ht="14.25" customHeight="1" x14ac:dyDescent="0.25">
      <c r="D927" s="1"/>
      <c r="E927" s="1"/>
      <c r="F927" s="1"/>
    </row>
    <row r="928" spans="4:6" ht="14.25" customHeight="1" x14ac:dyDescent="0.25">
      <c r="D928" s="1"/>
      <c r="E928" s="1"/>
      <c r="F928" s="1"/>
    </row>
    <row r="929" spans="4:6" ht="14.25" customHeight="1" x14ac:dyDescent="0.25">
      <c r="D929" s="1"/>
      <c r="E929" s="1"/>
      <c r="F929" s="1"/>
    </row>
    <row r="930" spans="4:6" ht="14.25" customHeight="1" x14ac:dyDescent="0.25">
      <c r="D930" s="1"/>
      <c r="E930" s="1"/>
      <c r="F930" s="1"/>
    </row>
    <row r="931" spans="4:6" ht="14.25" customHeight="1" x14ac:dyDescent="0.25">
      <c r="D931" s="1"/>
      <c r="E931" s="1"/>
      <c r="F931" s="1"/>
    </row>
    <row r="932" spans="4:6" ht="14.25" customHeight="1" x14ac:dyDescent="0.25">
      <c r="D932" s="1"/>
      <c r="E932" s="1"/>
      <c r="F932" s="1"/>
    </row>
    <row r="933" spans="4:6" ht="14.25" customHeight="1" x14ac:dyDescent="0.25">
      <c r="D933" s="1"/>
      <c r="E933" s="1"/>
      <c r="F933" s="1"/>
    </row>
    <row r="934" spans="4:6" ht="14.25" customHeight="1" x14ac:dyDescent="0.25">
      <c r="D934" s="1"/>
      <c r="E934" s="1"/>
      <c r="F934" s="1"/>
    </row>
    <row r="935" spans="4:6" ht="14.25" customHeight="1" x14ac:dyDescent="0.25">
      <c r="D935" s="1"/>
      <c r="E935" s="1"/>
      <c r="F935" s="1"/>
    </row>
    <row r="936" spans="4:6" ht="14.25" customHeight="1" x14ac:dyDescent="0.25">
      <c r="D936" s="1"/>
      <c r="E936" s="1"/>
      <c r="F936" s="1"/>
    </row>
    <row r="937" spans="4:6" ht="14.25" customHeight="1" x14ac:dyDescent="0.25">
      <c r="D937" s="1"/>
      <c r="E937" s="1"/>
      <c r="F937" s="1"/>
    </row>
    <row r="938" spans="4:6" ht="14.25" customHeight="1" x14ac:dyDescent="0.25">
      <c r="D938" s="1"/>
      <c r="E938" s="1"/>
      <c r="F938" s="1"/>
    </row>
    <row r="939" spans="4:6" ht="14.25" customHeight="1" x14ac:dyDescent="0.25">
      <c r="D939" s="1"/>
      <c r="E939" s="1"/>
      <c r="F939" s="1"/>
    </row>
    <row r="940" spans="4:6" ht="14.25" customHeight="1" x14ac:dyDescent="0.25">
      <c r="D940" s="1"/>
      <c r="E940" s="1"/>
      <c r="F940" s="1"/>
    </row>
    <row r="941" spans="4:6" ht="14.25" customHeight="1" x14ac:dyDescent="0.25">
      <c r="D941" s="1"/>
      <c r="E941" s="1"/>
      <c r="F941" s="1"/>
    </row>
    <row r="942" spans="4:6" ht="14.25" customHeight="1" x14ac:dyDescent="0.25">
      <c r="D942" s="1"/>
      <c r="E942" s="1"/>
      <c r="F942" s="1"/>
    </row>
    <row r="943" spans="4:6" ht="14.25" customHeight="1" x14ac:dyDescent="0.25">
      <c r="D943" s="1"/>
      <c r="E943" s="1"/>
      <c r="F943" s="1"/>
    </row>
    <row r="944" spans="4:6" ht="14.25" customHeight="1" x14ac:dyDescent="0.25">
      <c r="D944" s="1"/>
      <c r="E944" s="1"/>
      <c r="F944" s="1"/>
    </row>
    <row r="945" spans="4:6" ht="14.25" customHeight="1" x14ac:dyDescent="0.25">
      <c r="D945" s="1"/>
      <c r="E945" s="1"/>
      <c r="F945" s="1"/>
    </row>
    <row r="946" spans="4:6" ht="14.25" customHeight="1" x14ac:dyDescent="0.25">
      <c r="D946" s="1"/>
      <c r="E946" s="1"/>
      <c r="F946" s="1"/>
    </row>
    <row r="947" spans="4:6" ht="14.25" customHeight="1" x14ac:dyDescent="0.25">
      <c r="D947" s="1"/>
      <c r="E947" s="1"/>
      <c r="F947" s="1"/>
    </row>
    <row r="948" spans="4:6" ht="14.25" customHeight="1" x14ac:dyDescent="0.25">
      <c r="D948" s="1"/>
      <c r="E948" s="1"/>
      <c r="F948" s="1"/>
    </row>
    <row r="949" spans="4:6" ht="14.25" customHeight="1" x14ac:dyDescent="0.25">
      <c r="D949" s="1"/>
      <c r="E949" s="1"/>
      <c r="F949" s="1"/>
    </row>
    <row r="950" spans="4:6" ht="14.25" customHeight="1" x14ac:dyDescent="0.25">
      <c r="D950" s="1"/>
      <c r="E950" s="1"/>
      <c r="F950" s="1"/>
    </row>
    <row r="951" spans="4:6" ht="14.25" customHeight="1" x14ac:dyDescent="0.25">
      <c r="D951" s="1"/>
      <c r="E951" s="1"/>
      <c r="F951" s="1"/>
    </row>
    <row r="952" spans="4:6" ht="14.25" customHeight="1" x14ac:dyDescent="0.25">
      <c r="D952" s="1"/>
      <c r="E952" s="1"/>
      <c r="F952" s="1"/>
    </row>
    <row r="953" spans="4:6" ht="14.25" customHeight="1" x14ac:dyDescent="0.25">
      <c r="D953" s="1"/>
      <c r="E953" s="1"/>
      <c r="F953" s="1"/>
    </row>
    <row r="954" spans="4:6" ht="14.25" customHeight="1" x14ac:dyDescent="0.25">
      <c r="D954" s="1"/>
      <c r="E954" s="1"/>
      <c r="F954" s="1"/>
    </row>
    <row r="955" spans="4:6" ht="14.25" customHeight="1" x14ac:dyDescent="0.25">
      <c r="D955" s="1"/>
      <c r="E955" s="1"/>
      <c r="F955" s="1"/>
    </row>
    <row r="956" spans="4:6" ht="14.25" customHeight="1" x14ac:dyDescent="0.25">
      <c r="D956" s="1"/>
      <c r="E956" s="1"/>
      <c r="F956" s="1"/>
    </row>
    <row r="957" spans="4:6" ht="14.25" customHeight="1" x14ac:dyDescent="0.25">
      <c r="D957" s="1"/>
      <c r="E957" s="1"/>
      <c r="F957" s="1"/>
    </row>
    <row r="958" spans="4:6" ht="14.25" customHeight="1" x14ac:dyDescent="0.25">
      <c r="D958" s="1"/>
      <c r="E958" s="1"/>
      <c r="F958" s="1"/>
    </row>
    <row r="959" spans="4:6" ht="14.25" customHeight="1" x14ac:dyDescent="0.25">
      <c r="D959" s="1"/>
      <c r="E959" s="1"/>
      <c r="F959" s="1"/>
    </row>
    <row r="960" spans="4:6" ht="14.25" customHeight="1" x14ac:dyDescent="0.25">
      <c r="D960" s="1"/>
      <c r="E960" s="1"/>
      <c r="F960" s="1"/>
    </row>
    <row r="961" spans="4:6" ht="14.25" customHeight="1" x14ac:dyDescent="0.25">
      <c r="D961" s="1"/>
      <c r="E961" s="1"/>
      <c r="F961" s="1"/>
    </row>
    <row r="962" spans="4:6" ht="14.25" customHeight="1" x14ac:dyDescent="0.25">
      <c r="D962" s="1"/>
      <c r="E962" s="1"/>
      <c r="F962" s="1"/>
    </row>
    <row r="963" spans="4:6" ht="14.25" customHeight="1" x14ac:dyDescent="0.25">
      <c r="D963" s="1"/>
      <c r="E963" s="1"/>
      <c r="F963" s="1"/>
    </row>
    <row r="964" spans="4:6" ht="14.25" customHeight="1" x14ac:dyDescent="0.25">
      <c r="D964" s="1"/>
      <c r="E964" s="1"/>
      <c r="F964" s="1"/>
    </row>
    <row r="965" spans="4:6" ht="14.25" customHeight="1" x14ac:dyDescent="0.25">
      <c r="D965" s="1"/>
      <c r="E965" s="1"/>
      <c r="F965" s="1"/>
    </row>
    <row r="966" spans="4:6" ht="14.25" customHeight="1" x14ac:dyDescent="0.25">
      <c r="D966" s="1"/>
      <c r="E966" s="1"/>
      <c r="F966" s="1"/>
    </row>
    <row r="967" spans="4:6" ht="14.25" customHeight="1" x14ac:dyDescent="0.25">
      <c r="D967" s="1"/>
      <c r="E967" s="1"/>
      <c r="F967" s="1"/>
    </row>
    <row r="968" spans="4:6" ht="14.25" customHeight="1" x14ac:dyDescent="0.25">
      <c r="D968" s="1"/>
      <c r="E968" s="1"/>
      <c r="F968" s="1"/>
    </row>
    <row r="969" spans="4:6" ht="14.25" customHeight="1" x14ac:dyDescent="0.25">
      <c r="D969" s="1"/>
      <c r="E969" s="1"/>
      <c r="F969" s="1"/>
    </row>
    <row r="970" spans="4:6" ht="14.25" customHeight="1" x14ac:dyDescent="0.25">
      <c r="D970" s="1"/>
      <c r="E970" s="1"/>
      <c r="F970" s="1"/>
    </row>
    <row r="971" spans="4:6" ht="14.25" customHeight="1" x14ac:dyDescent="0.25">
      <c r="D971" s="1"/>
      <c r="E971" s="1"/>
      <c r="F971" s="1"/>
    </row>
    <row r="972" spans="4:6" ht="14.25" customHeight="1" x14ac:dyDescent="0.25">
      <c r="D972" s="1"/>
      <c r="E972" s="1"/>
      <c r="F972" s="1"/>
    </row>
    <row r="973" spans="4:6" ht="14.25" customHeight="1" x14ac:dyDescent="0.25">
      <c r="D973" s="1"/>
      <c r="E973" s="1"/>
      <c r="F973" s="1"/>
    </row>
    <row r="974" spans="4:6" ht="14.25" customHeight="1" x14ac:dyDescent="0.25">
      <c r="D974" s="1"/>
      <c r="E974" s="1"/>
      <c r="F974" s="1"/>
    </row>
    <row r="975" spans="4:6" ht="14.25" customHeight="1" x14ac:dyDescent="0.25">
      <c r="D975" s="1"/>
      <c r="E975" s="1"/>
      <c r="F975" s="1"/>
    </row>
    <row r="976" spans="4:6" ht="14.25" customHeight="1" x14ac:dyDescent="0.25">
      <c r="D976" s="1"/>
      <c r="E976" s="1"/>
      <c r="F976" s="1"/>
    </row>
    <row r="977" spans="4:6" ht="14.25" customHeight="1" x14ac:dyDescent="0.25">
      <c r="D977" s="1"/>
      <c r="E977" s="1"/>
      <c r="F977" s="1"/>
    </row>
    <row r="978" spans="4:6" ht="14.25" customHeight="1" x14ac:dyDescent="0.25">
      <c r="D978" s="1"/>
      <c r="E978" s="1"/>
      <c r="F978" s="1"/>
    </row>
    <row r="979" spans="4:6" ht="14.25" customHeight="1" x14ac:dyDescent="0.25">
      <c r="D979" s="1"/>
      <c r="E979" s="1"/>
      <c r="F979" s="1"/>
    </row>
    <row r="980" spans="4:6" ht="14.25" customHeight="1" x14ac:dyDescent="0.25">
      <c r="D980" s="1"/>
      <c r="E980" s="1"/>
      <c r="F980" s="1"/>
    </row>
    <row r="981" spans="4:6" ht="14.25" customHeight="1" x14ac:dyDescent="0.25">
      <c r="D981" s="1"/>
      <c r="E981" s="1"/>
      <c r="F981" s="1"/>
    </row>
    <row r="982" spans="4:6" ht="14.25" customHeight="1" x14ac:dyDescent="0.25">
      <c r="D982" s="1"/>
      <c r="E982" s="1"/>
      <c r="F982" s="1"/>
    </row>
    <row r="983" spans="4:6" ht="14.25" customHeight="1" x14ac:dyDescent="0.25">
      <c r="D983" s="1"/>
      <c r="E983" s="1"/>
      <c r="F983" s="1"/>
    </row>
    <row r="984" spans="4:6" ht="14.25" customHeight="1" x14ac:dyDescent="0.25">
      <c r="D984" s="1"/>
      <c r="E984" s="1"/>
      <c r="F984" s="1"/>
    </row>
    <row r="985" spans="4:6" ht="14.25" customHeight="1" x14ac:dyDescent="0.25">
      <c r="D985" s="1"/>
      <c r="E985" s="1"/>
      <c r="F985" s="1"/>
    </row>
    <row r="986" spans="4:6" ht="14.25" customHeight="1" x14ac:dyDescent="0.25">
      <c r="D986" s="1"/>
      <c r="E986" s="1"/>
      <c r="F986" s="1"/>
    </row>
    <row r="987" spans="4:6" ht="14.25" customHeight="1" x14ac:dyDescent="0.25">
      <c r="D987" s="1"/>
      <c r="E987" s="1"/>
      <c r="F987" s="1"/>
    </row>
    <row r="988" spans="4:6" ht="14.25" customHeight="1" x14ac:dyDescent="0.25">
      <c r="D988" s="1"/>
      <c r="E988" s="1"/>
      <c r="F988" s="1"/>
    </row>
    <row r="989" spans="4:6" ht="14.25" customHeight="1" x14ac:dyDescent="0.25">
      <c r="D989" s="1"/>
      <c r="E989" s="1"/>
      <c r="F989" s="1"/>
    </row>
    <row r="990" spans="4:6" ht="14.25" customHeight="1" x14ac:dyDescent="0.25">
      <c r="D990" s="1"/>
      <c r="E990" s="1"/>
      <c r="F990" s="1"/>
    </row>
    <row r="991" spans="4:6" ht="14.25" customHeight="1" x14ac:dyDescent="0.25">
      <c r="D991" s="1"/>
      <c r="E991" s="1"/>
      <c r="F991" s="1"/>
    </row>
    <row r="992" spans="4:6" ht="14.25" customHeight="1" x14ac:dyDescent="0.25">
      <c r="D992" s="1"/>
      <c r="E992" s="1"/>
      <c r="F992" s="1"/>
    </row>
    <row r="993" spans="4:6" ht="14.25" customHeight="1" x14ac:dyDescent="0.25">
      <c r="D993" s="1"/>
      <c r="E993" s="1"/>
      <c r="F993" s="1"/>
    </row>
    <row r="994" spans="4:6" ht="14.25" customHeight="1" x14ac:dyDescent="0.25">
      <c r="D994" s="1"/>
      <c r="E994" s="1"/>
      <c r="F994" s="1"/>
    </row>
    <row r="995" spans="4:6" ht="14.25" customHeight="1" x14ac:dyDescent="0.25">
      <c r="D995" s="1"/>
      <c r="E995" s="1"/>
      <c r="F995" s="1"/>
    </row>
    <row r="996" spans="4:6" ht="14.25" customHeight="1" x14ac:dyDescent="0.25">
      <c r="D996" s="1"/>
      <c r="E996" s="1"/>
      <c r="F996" s="1"/>
    </row>
    <row r="997" spans="4:6" ht="14.25" customHeight="1" x14ac:dyDescent="0.25">
      <c r="D997" s="1"/>
      <c r="E997" s="1"/>
      <c r="F997" s="1"/>
    </row>
    <row r="998" spans="4:6" ht="14.25" customHeight="1" x14ac:dyDescent="0.25">
      <c r="D998" s="1"/>
      <c r="E998" s="1"/>
      <c r="F998" s="1"/>
    </row>
    <row r="999" spans="4:6" ht="14.25" customHeight="1" x14ac:dyDescent="0.25">
      <c r="D999" s="1"/>
      <c r="E999" s="1"/>
      <c r="F999" s="1"/>
    </row>
    <row r="1000" spans="4:6" ht="14.25" customHeight="1" x14ac:dyDescent="0.25">
      <c r="D1000" s="1"/>
      <c r="E1000" s="1"/>
      <c r="F1000" s="1"/>
    </row>
    <row r="1001" spans="4:6" ht="14.25" customHeight="1" x14ac:dyDescent="0.25">
      <c r="D1001" s="1"/>
      <c r="E1001" s="1"/>
      <c r="F1001" s="1"/>
    </row>
    <row r="1002" spans="4:6" ht="14.25" customHeight="1" x14ac:dyDescent="0.25">
      <c r="D1002" s="1"/>
      <c r="E1002" s="1"/>
      <c r="F1002" s="1"/>
    </row>
    <row r="1003" spans="4:6" ht="14.25" customHeight="1" x14ac:dyDescent="0.25">
      <c r="D1003" s="1"/>
      <c r="E1003" s="1"/>
      <c r="F1003" s="1"/>
    </row>
    <row r="1004" spans="4:6" ht="14.25" customHeight="1" x14ac:dyDescent="0.25">
      <c r="D1004" s="1"/>
      <c r="E1004" s="1"/>
      <c r="F1004" s="1"/>
    </row>
    <row r="1005" spans="4:6" ht="14.25" customHeight="1" x14ac:dyDescent="0.25">
      <c r="D1005" s="1"/>
      <c r="E1005" s="1"/>
      <c r="F1005" s="1"/>
    </row>
    <row r="1006" spans="4:6" ht="14.25" customHeight="1" x14ac:dyDescent="0.25">
      <c r="D1006" s="1"/>
      <c r="E1006" s="1"/>
      <c r="F1006" s="1"/>
    </row>
    <row r="1007" spans="4:6" ht="14.25" customHeight="1" x14ac:dyDescent="0.25">
      <c r="D1007" s="1"/>
      <c r="E1007" s="1"/>
      <c r="F1007" s="1"/>
    </row>
    <row r="1008" spans="4:6" ht="14.25" customHeight="1" x14ac:dyDescent="0.25">
      <c r="D1008" s="1"/>
      <c r="E1008" s="1"/>
      <c r="F1008" s="1"/>
    </row>
    <row r="1009" spans="4:6" ht="14.25" customHeight="1" x14ac:dyDescent="0.25">
      <c r="D1009" s="1"/>
      <c r="E1009" s="1"/>
      <c r="F1009" s="1"/>
    </row>
    <row r="1010" spans="4:6" ht="14.25" customHeight="1" x14ac:dyDescent="0.25">
      <c r="D1010" s="1"/>
      <c r="E1010" s="1"/>
      <c r="F1010" s="1"/>
    </row>
    <row r="1011" spans="4:6" ht="14.25" customHeight="1" x14ac:dyDescent="0.25">
      <c r="D1011" s="1"/>
      <c r="E1011" s="1"/>
      <c r="F1011" s="1"/>
    </row>
    <row r="1012" spans="4:6" ht="14.25" customHeight="1" x14ac:dyDescent="0.25">
      <c r="D1012" s="1"/>
      <c r="E1012" s="1"/>
      <c r="F1012" s="1"/>
    </row>
    <row r="1013" spans="4:6" ht="14.25" customHeight="1" x14ac:dyDescent="0.25">
      <c r="D1013" s="1"/>
      <c r="E1013" s="1"/>
      <c r="F1013" s="1"/>
    </row>
    <row r="1014" spans="4:6" ht="14.25" customHeight="1" x14ac:dyDescent="0.25">
      <c r="D1014" s="1"/>
      <c r="E1014" s="1"/>
      <c r="F1014" s="1"/>
    </row>
    <row r="1015" spans="4:6" ht="14.25" customHeight="1" x14ac:dyDescent="0.25">
      <c r="D1015" s="1"/>
      <c r="E1015" s="1"/>
      <c r="F1015" s="1"/>
    </row>
    <row r="1016" spans="4:6" ht="14.25" customHeight="1" x14ac:dyDescent="0.25">
      <c r="D1016" s="1"/>
      <c r="E1016" s="1"/>
      <c r="F1016" s="1"/>
    </row>
    <row r="1017" spans="4:6" ht="14.25" customHeight="1" x14ac:dyDescent="0.25">
      <c r="D1017" s="1"/>
      <c r="E1017" s="1"/>
      <c r="F1017" s="1"/>
    </row>
    <row r="1018" spans="4:6" ht="14.25" customHeight="1" x14ac:dyDescent="0.25">
      <c r="D1018" s="1"/>
      <c r="E1018" s="1"/>
      <c r="F1018" s="1"/>
    </row>
    <row r="1019" spans="4:6" ht="14.25" customHeight="1" x14ac:dyDescent="0.25">
      <c r="D1019" s="1"/>
      <c r="E1019" s="1"/>
      <c r="F1019" s="1"/>
    </row>
    <row r="1020" spans="4:6" ht="14.25" customHeight="1" x14ac:dyDescent="0.25">
      <c r="D1020" s="1"/>
      <c r="E1020" s="1"/>
      <c r="F1020" s="1"/>
    </row>
    <row r="1021" spans="4:6" ht="14.25" customHeight="1" x14ac:dyDescent="0.25">
      <c r="D1021" s="1"/>
      <c r="E1021" s="1"/>
      <c r="F1021" s="1"/>
    </row>
    <row r="1022" spans="4:6" ht="14.25" customHeight="1" x14ac:dyDescent="0.25">
      <c r="D1022" s="1"/>
      <c r="E1022" s="1"/>
      <c r="F1022" s="1"/>
    </row>
    <row r="1023" spans="4:6" ht="14.25" customHeight="1" x14ac:dyDescent="0.25">
      <c r="D1023" s="1"/>
      <c r="E1023" s="1"/>
      <c r="F1023" s="1"/>
    </row>
    <row r="1024" spans="4:6" ht="14.25" customHeight="1" x14ac:dyDescent="0.25">
      <c r="D1024" s="1"/>
      <c r="E1024" s="1"/>
      <c r="F1024" s="1"/>
    </row>
    <row r="1025" spans="4:6" ht="14.25" customHeight="1" x14ac:dyDescent="0.25">
      <c r="D1025" s="1"/>
      <c r="E1025" s="1"/>
      <c r="F1025" s="1"/>
    </row>
    <row r="1026" spans="4:6" ht="14.25" customHeight="1" x14ac:dyDescent="0.25">
      <c r="D1026" s="1"/>
      <c r="E1026" s="1"/>
      <c r="F1026" s="1"/>
    </row>
    <row r="1027" spans="4:6" ht="14.25" customHeight="1" x14ac:dyDescent="0.25">
      <c r="D1027" s="1"/>
      <c r="E1027" s="1"/>
      <c r="F1027" s="1"/>
    </row>
    <row r="1028" spans="4:6" ht="14.25" customHeight="1" x14ac:dyDescent="0.25">
      <c r="D1028" s="1"/>
      <c r="E1028" s="1"/>
      <c r="F1028" s="1"/>
    </row>
    <row r="1029" spans="4:6" ht="14.25" customHeight="1" x14ac:dyDescent="0.25">
      <c r="D1029" s="1"/>
      <c r="E1029" s="1"/>
      <c r="F1029" s="1"/>
    </row>
    <row r="1030" spans="4:6" ht="14.25" customHeight="1" x14ac:dyDescent="0.25">
      <c r="D1030" s="1"/>
      <c r="E1030" s="1"/>
      <c r="F1030" s="1"/>
    </row>
    <row r="1031" spans="4:6" ht="14.25" customHeight="1" x14ac:dyDescent="0.25">
      <c r="D1031" s="1"/>
      <c r="E1031" s="1"/>
      <c r="F1031" s="1"/>
    </row>
    <row r="1032" spans="4:6" ht="14.25" customHeight="1" x14ac:dyDescent="0.25">
      <c r="D1032" s="1"/>
      <c r="E1032" s="1"/>
      <c r="F1032" s="1"/>
    </row>
    <row r="1033" spans="4:6" ht="14.25" customHeight="1" x14ac:dyDescent="0.25">
      <c r="D1033" s="1"/>
      <c r="E1033" s="1"/>
      <c r="F1033" s="1"/>
    </row>
    <row r="1034" spans="4:6" ht="14.25" customHeight="1" x14ac:dyDescent="0.25">
      <c r="D1034" s="1"/>
      <c r="E1034" s="1"/>
      <c r="F1034" s="1"/>
    </row>
    <row r="1035" spans="4:6" ht="14.25" customHeight="1" x14ac:dyDescent="0.25">
      <c r="D1035" s="1"/>
      <c r="E1035" s="1"/>
      <c r="F1035" s="1"/>
    </row>
    <row r="1036" spans="4:6" ht="14.25" customHeight="1" x14ac:dyDescent="0.25">
      <c r="D1036" s="1"/>
      <c r="E1036" s="1"/>
      <c r="F1036" s="1"/>
    </row>
    <row r="1037" spans="4:6" ht="14.25" customHeight="1" x14ac:dyDescent="0.25">
      <c r="D1037" s="1"/>
      <c r="E1037" s="1"/>
      <c r="F1037" s="1"/>
    </row>
    <row r="1038" spans="4:6" ht="14.25" customHeight="1" x14ac:dyDescent="0.25">
      <c r="D1038" s="1"/>
      <c r="E1038" s="1"/>
      <c r="F1038" s="1"/>
    </row>
    <row r="1039" spans="4:6" ht="14.25" customHeight="1" x14ac:dyDescent="0.25">
      <c r="D1039" s="1"/>
      <c r="E1039" s="1"/>
      <c r="F1039" s="1"/>
    </row>
    <row r="1040" spans="4:6" ht="14.25" customHeight="1" x14ac:dyDescent="0.25">
      <c r="D1040" s="1"/>
      <c r="E1040" s="1"/>
      <c r="F1040" s="1"/>
    </row>
    <row r="1041" spans="4:6" ht="14.25" customHeight="1" x14ac:dyDescent="0.25">
      <c r="D1041" s="1"/>
      <c r="E1041" s="1"/>
      <c r="F1041" s="1"/>
    </row>
    <row r="1042" spans="4:6" ht="14.25" customHeight="1" x14ac:dyDescent="0.25">
      <c r="D1042" s="1"/>
      <c r="E1042" s="1"/>
      <c r="F1042" s="1"/>
    </row>
    <row r="1043" spans="4:6" ht="14.25" customHeight="1" x14ac:dyDescent="0.25">
      <c r="D1043" s="1"/>
      <c r="E1043" s="1"/>
      <c r="F1043" s="1"/>
    </row>
    <row r="1044" spans="4:6" ht="14.25" customHeight="1" x14ac:dyDescent="0.25">
      <c r="D1044" s="1"/>
      <c r="E1044" s="1"/>
      <c r="F1044" s="1"/>
    </row>
    <row r="1045" spans="4:6" ht="14.25" customHeight="1" x14ac:dyDescent="0.25">
      <c r="D1045" s="1"/>
      <c r="E1045" s="1"/>
      <c r="F1045" s="1"/>
    </row>
    <row r="1046" spans="4:6" ht="14.25" customHeight="1" x14ac:dyDescent="0.25">
      <c r="D1046" s="1"/>
      <c r="E1046" s="1"/>
      <c r="F1046" s="1"/>
    </row>
    <row r="1047" spans="4:6" ht="14.25" customHeight="1" x14ac:dyDescent="0.25">
      <c r="D1047" s="1"/>
      <c r="E1047" s="1"/>
      <c r="F1047" s="1"/>
    </row>
    <row r="1048" spans="4:6" ht="14.25" customHeight="1" x14ac:dyDescent="0.25">
      <c r="D1048" s="1"/>
      <c r="E1048" s="1"/>
      <c r="F1048" s="1"/>
    </row>
    <row r="1049" spans="4:6" ht="14.25" customHeight="1" x14ac:dyDescent="0.25">
      <c r="D1049" s="1"/>
      <c r="E1049" s="1"/>
      <c r="F1049" s="1"/>
    </row>
    <row r="1050" spans="4:6" ht="14.25" customHeight="1" x14ac:dyDescent="0.25">
      <c r="D1050" s="1"/>
      <c r="E1050" s="1"/>
      <c r="F1050" s="1"/>
    </row>
    <row r="1051" spans="4:6" ht="14.25" customHeight="1" x14ac:dyDescent="0.25">
      <c r="D1051" s="1"/>
      <c r="E1051" s="1"/>
      <c r="F1051" s="1"/>
    </row>
    <row r="1052" spans="4:6" ht="14.25" customHeight="1" x14ac:dyDescent="0.25">
      <c r="D1052" s="1"/>
      <c r="E1052" s="1"/>
      <c r="F1052" s="1"/>
    </row>
    <row r="1053" spans="4:6" ht="14.25" customHeight="1" x14ac:dyDescent="0.25">
      <c r="D1053" s="1"/>
      <c r="E1053" s="1"/>
      <c r="F1053" s="1"/>
    </row>
    <row r="1054" spans="4:6" ht="14.25" customHeight="1" x14ac:dyDescent="0.25">
      <c r="D1054" s="1"/>
      <c r="E1054" s="1"/>
      <c r="F1054" s="1"/>
    </row>
    <row r="1055" spans="4:6" ht="14.25" customHeight="1" x14ac:dyDescent="0.25">
      <c r="D1055" s="1"/>
      <c r="E1055" s="1"/>
      <c r="F1055" s="1"/>
    </row>
    <row r="1056" spans="4:6" ht="14.25" customHeight="1" x14ac:dyDescent="0.25">
      <c r="D1056" s="1"/>
      <c r="E1056" s="1"/>
      <c r="F1056" s="1"/>
    </row>
    <row r="1057" spans="4:6" ht="14.25" customHeight="1" x14ac:dyDescent="0.25">
      <c r="D1057" s="1"/>
      <c r="E1057" s="1"/>
      <c r="F1057" s="1"/>
    </row>
    <row r="1058" spans="4:6" ht="14.25" customHeight="1" x14ac:dyDescent="0.25">
      <c r="D1058" s="1"/>
      <c r="E1058" s="1"/>
      <c r="F1058" s="1"/>
    </row>
    <row r="1059" spans="4:6" ht="14.25" customHeight="1" x14ac:dyDescent="0.25">
      <c r="D1059" s="1"/>
      <c r="E1059" s="1"/>
      <c r="F1059" s="1"/>
    </row>
    <row r="1060" spans="4:6" ht="14.25" customHeight="1" x14ac:dyDescent="0.25">
      <c r="D1060" s="1"/>
      <c r="E1060" s="1"/>
      <c r="F1060" s="1"/>
    </row>
    <row r="1061" spans="4:6" ht="14.25" customHeight="1" x14ac:dyDescent="0.25">
      <c r="D1061" s="1"/>
      <c r="E1061" s="1"/>
      <c r="F1061" s="1"/>
    </row>
    <row r="1062" spans="4:6" ht="14.25" customHeight="1" x14ac:dyDescent="0.25">
      <c r="D1062" s="1"/>
      <c r="E1062" s="1"/>
      <c r="F1062" s="1"/>
    </row>
    <row r="1063" spans="4:6" ht="14.25" customHeight="1" x14ac:dyDescent="0.25">
      <c r="D1063" s="1"/>
      <c r="E1063" s="1"/>
      <c r="F1063" s="1"/>
    </row>
    <row r="1064" spans="4:6" ht="14.25" customHeight="1" x14ac:dyDescent="0.25">
      <c r="D1064" s="1"/>
      <c r="E1064" s="1"/>
      <c r="F1064" s="1"/>
    </row>
    <row r="1065" spans="4:6" ht="14.25" customHeight="1" x14ac:dyDescent="0.25">
      <c r="D1065" s="1"/>
      <c r="E1065" s="1"/>
      <c r="F1065" s="1"/>
    </row>
    <row r="1066" spans="4:6" ht="14.25" customHeight="1" x14ac:dyDescent="0.25">
      <c r="D1066" s="1"/>
      <c r="E1066" s="1"/>
      <c r="F1066" s="1"/>
    </row>
    <row r="1067" spans="4:6" ht="14.25" customHeight="1" x14ac:dyDescent="0.25">
      <c r="D1067" s="1"/>
      <c r="E1067" s="1"/>
      <c r="F1067" s="1"/>
    </row>
    <row r="1068" spans="4:6" ht="14.25" customHeight="1" x14ac:dyDescent="0.25">
      <c r="D1068" s="1"/>
      <c r="E1068" s="1"/>
      <c r="F1068" s="1"/>
    </row>
    <row r="1069" spans="4:6" ht="14.25" customHeight="1" x14ac:dyDescent="0.25">
      <c r="D1069" s="1"/>
      <c r="E1069" s="1"/>
      <c r="F1069" s="1"/>
    </row>
    <row r="1070" spans="4:6" ht="14.25" customHeight="1" x14ac:dyDescent="0.25">
      <c r="D1070" s="1"/>
      <c r="E1070" s="1"/>
      <c r="F1070" s="1"/>
    </row>
    <row r="1071" spans="4:6" ht="14.25" customHeight="1" x14ac:dyDescent="0.25">
      <c r="D1071" s="1"/>
      <c r="E1071" s="1"/>
      <c r="F1071" s="1"/>
    </row>
    <row r="1072" spans="4:6" ht="14.25" customHeight="1" x14ac:dyDescent="0.25">
      <c r="D1072" s="1"/>
      <c r="E1072" s="1"/>
      <c r="F1072" s="1"/>
    </row>
    <row r="1073" spans="4:6" ht="14.25" customHeight="1" x14ac:dyDescent="0.25">
      <c r="D1073" s="1"/>
      <c r="E1073" s="1"/>
      <c r="F1073" s="1"/>
    </row>
    <row r="1074" spans="4:6" ht="14.25" customHeight="1" x14ac:dyDescent="0.25">
      <c r="D1074" s="1"/>
      <c r="E1074" s="1"/>
      <c r="F1074" s="1"/>
    </row>
    <row r="1075" spans="4:6" ht="14.25" customHeight="1" x14ac:dyDescent="0.25">
      <c r="D1075" s="1"/>
      <c r="E1075" s="1"/>
      <c r="F1075" s="1"/>
    </row>
    <row r="1076" spans="4:6" ht="14.25" customHeight="1" x14ac:dyDescent="0.25">
      <c r="D1076" s="1"/>
      <c r="E1076" s="1"/>
      <c r="F1076" s="1"/>
    </row>
    <row r="1077" spans="4:6" ht="14.25" customHeight="1" x14ac:dyDescent="0.25">
      <c r="D1077" s="1"/>
      <c r="E1077" s="1"/>
      <c r="F1077" s="1"/>
    </row>
    <row r="1078" spans="4:6" ht="14.25" customHeight="1" x14ac:dyDescent="0.25">
      <c r="D1078" s="1"/>
      <c r="E1078" s="1"/>
      <c r="F1078" s="1"/>
    </row>
    <row r="1079" spans="4:6" ht="14.25" customHeight="1" x14ac:dyDescent="0.25">
      <c r="D1079" s="1"/>
      <c r="E1079" s="1"/>
      <c r="F1079" s="1"/>
    </row>
    <row r="1080" spans="4:6" ht="14.25" customHeight="1" x14ac:dyDescent="0.25">
      <c r="D1080" s="1"/>
      <c r="E1080" s="1"/>
      <c r="F1080" s="1"/>
    </row>
    <row r="1081" spans="4:6" ht="14.25" customHeight="1" x14ac:dyDescent="0.25">
      <c r="D1081" s="1"/>
      <c r="E1081" s="1"/>
      <c r="F1081" s="1"/>
    </row>
    <row r="1082" spans="4:6" ht="14.25" customHeight="1" x14ac:dyDescent="0.25">
      <c r="D1082" s="1"/>
      <c r="E1082" s="1"/>
      <c r="F1082" s="1"/>
    </row>
    <row r="1083" spans="4:6" ht="14.25" customHeight="1" x14ac:dyDescent="0.25">
      <c r="D1083" s="1"/>
      <c r="E1083" s="1"/>
      <c r="F1083" s="1"/>
    </row>
    <row r="1084" spans="4:6" ht="14.25" customHeight="1" x14ac:dyDescent="0.25">
      <c r="D1084" s="1"/>
      <c r="E1084" s="1"/>
      <c r="F1084" s="1"/>
    </row>
    <row r="1085" spans="4:6" ht="14.25" customHeight="1" x14ac:dyDescent="0.25">
      <c r="D1085" s="1"/>
      <c r="E1085" s="1"/>
      <c r="F1085" s="1"/>
    </row>
    <row r="1086" spans="4:6" ht="14.25" customHeight="1" x14ac:dyDescent="0.25">
      <c r="D1086" s="1"/>
      <c r="E1086" s="1"/>
      <c r="F1086" s="1"/>
    </row>
    <row r="1087" spans="4:6" ht="14.25" customHeight="1" x14ac:dyDescent="0.25">
      <c r="D1087" s="1"/>
      <c r="E1087" s="1"/>
      <c r="F1087" s="1"/>
    </row>
    <row r="1088" spans="4:6" ht="14.25" customHeight="1" x14ac:dyDescent="0.25">
      <c r="D1088" s="1"/>
      <c r="E1088" s="1"/>
      <c r="F1088" s="1"/>
    </row>
    <row r="1089" spans="4:6" ht="14.25" customHeight="1" x14ac:dyDescent="0.25">
      <c r="D1089" s="1"/>
      <c r="E1089" s="1"/>
      <c r="F1089" s="1"/>
    </row>
    <row r="1090" spans="4:6" ht="14.25" customHeight="1" x14ac:dyDescent="0.25">
      <c r="D1090" s="1"/>
      <c r="E1090" s="1"/>
      <c r="F1090" s="1"/>
    </row>
    <row r="1091" spans="4:6" ht="14.25" customHeight="1" x14ac:dyDescent="0.25">
      <c r="D1091" s="1"/>
      <c r="E1091" s="1"/>
      <c r="F1091" s="1"/>
    </row>
    <row r="1092" spans="4:6" ht="14.25" customHeight="1" x14ac:dyDescent="0.25">
      <c r="D1092" s="1"/>
      <c r="E1092" s="1"/>
      <c r="F1092" s="1"/>
    </row>
    <row r="1093" spans="4:6" ht="14.25" customHeight="1" x14ac:dyDescent="0.25">
      <c r="D1093" s="1"/>
      <c r="E1093" s="1"/>
      <c r="F1093" s="1"/>
    </row>
    <row r="1094" spans="4:6" ht="14.25" customHeight="1" x14ac:dyDescent="0.25">
      <c r="D1094" s="1"/>
      <c r="E1094" s="1"/>
      <c r="F1094" s="1"/>
    </row>
    <row r="1095" spans="4:6" ht="14.25" customHeight="1" x14ac:dyDescent="0.25">
      <c r="D1095" s="1"/>
      <c r="E1095" s="1"/>
      <c r="F1095" s="1"/>
    </row>
    <row r="1096" spans="4:6" ht="14.25" customHeight="1" x14ac:dyDescent="0.25">
      <c r="D1096" s="1"/>
      <c r="E1096" s="1"/>
      <c r="F1096" s="1"/>
    </row>
    <row r="1097" spans="4:6" ht="14.25" customHeight="1" x14ac:dyDescent="0.25">
      <c r="D1097" s="1"/>
      <c r="E1097" s="1"/>
      <c r="F1097" s="1"/>
    </row>
    <row r="1098" spans="4:6" ht="14.25" customHeight="1" x14ac:dyDescent="0.25">
      <c r="D1098" s="1"/>
      <c r="E1098" s="1"/>
      <c r="F1098" s="1"/>
    </row>
    <row r="1099" spans="4:6" ht="14.25" customHeight="1" x14ac:dyDescent="0.25">
      <c r="D1099" s="1"/>
      <c r="E1099" s="1"/>
      <c r="F1099" s="1"/>
    </row>
    <row r="1100" spans="4:6" ht="14.25" customHeight="1" x14ac:dyDescent="0.25">
      <c r="D1100" s="1"/>
      <c r="E1100" s="1"/>
      <c r="F1100" s="1"/>
    </row>
    <row r="1101" spans="4:6" ht="14.25" customHeight="1" x14ac:dyDescent="0.25">
      <c r="D1101" s="1"/>
      <c r="E1101" s="1"/>
      <c r="F1101" s="1"/>
    </row>
    <row r="1102" spans="4:6" ht="14.25" customHeight="1" x14ac:dyDescent="0.25">
      <c r="D1102" s="1"/>
      <c r="E1102" s="1"/>
      <c r="F1102" s="1"/>
    </row>
    <row r="1103" spans="4:6" ht="14.25" customHeight="1" x14ac:dyDescent="0.25">
      <c r="D1103" s="1"/>
      <c r="E1103" s="1"/>
      <c r="F1103" s="1"/>
    </row>
    <row r="1104" spans="4:6" ht="14.25" customHeight="1" x14ac:dyDescent="0.25">
      <c r="D1104" s="1"/>
      <c r="E1104" s="1"/>
      <c r="F1104" s="1"/>
    </row>
    <row r="1105" spans="4:6" ht="14.25" customHeight="1" x14ac:dyDescent="0.25">
      <c r="D1105" s="1"/>
      <c r="E1105" s="1"/>
      <c r="F1105" s="1"/>
    </row>
    <row r="1106" spans="4:6" ht="14.25" customHeight="1" x14ac:dyDescent="0.25">
      <c r="D1106" s="1"/>
      <c r="E1106" s="1"/>
      <c r="F1106" s="1"/>
    </row>
    <row r="1107" spans="4:6" ht="14.25" customHeight="1" x14ac:dyDescent="0.25">
      <c r="D1107" s="1"/>
      <c r="E1107" s="1"/>
      <c r="F1107" s="1"/>
    </row>
    <row r="1108" spans="4:6" ht="14.25" customHeight="1" x14ac:dyDescent="0.25">
      <c r="D1108" s="1"/>
      <c r="E1108" s="1"/>
      <c r="F1108" s="1"/>
    </row>
    <row r="1109" spans="4:6" ht="14.25" customHeight="1" x14ac:dyDescent="0.25">
      <c r="D1109" s="1"/>
      <c r="E1109" s="1"/>
      <c r="F1109" s="1"/>
    </row>
    <row r="1110" spans="4:6" ht="14.25" customHeight="1" x14ac:dyDescent="0.25">
      <c r="D1110" s="1"/>
      <c r="E1110" s="1"/>
      <c r="F1110" s="1"/>
    </row>
    <row r="1111" spans="4:6" ht="14.25" customHeight="1" x14ac:dyDescent="0.25">
      <c r="D1111" s="1"/>
      <c r="E1111" s="1"/>
      <c r="F1111" s="1"/>
    </row>
    <row r="1112" spans="4:6" ht="14.25" customHeight="1" x14ac:dyDescent="0.25">
      <c r="D1112" s="1"/>
      <c r="E1112" s="1"/>
      <c r="F1112" s="1"/>
    </row>
    <row r="1113" spans="4:6" ht="14.25" customHeight="1" x14ac:dyDescent="0.25">
      <c r="D1113" s="1"/>
      <c r="E1113" s="1"/>
      <c r="F1113" s="1"/>
    </row>
    <row r="1114" spans="4:6" ht="14.25" customHeight="1" x14ac:dyDescent="0.25">
      <c r="D1114" s="1"/>
      <c r="E1114" s="1"/>
      <c r="F1114" s="1"/>
    </row>
    <row r="1115" spans="4:6" ht="14.25" customHeight="1" x14ac:dyDescent="0.25">
      <c r="D1115" s="1"/>
      <c r="E1115" s="1"/>
      <c r="F1115" s="1"/>
    </row>
    <row r="1116" spans="4:6" ht="14.25" customHeight="1" x14ac:dyDescent="0.25">
      <c r="D1116" s="1"/>
      <c r="E1116" s="1"/>
      <c r="F1116" s="1"/>
    </row>
    <row r="1117" spans="4:6" ht="14.25" customHeight="1" x14ac:dyDescent="0.25">
      <c r="D1117" s="1"/>
      <c r="E1117" s="1"/>
      <c r="F1117" s="1"/>
    </row>
    <row r="1118" spans="4:6" ht="14.25" customHeight="1" x14ac:dyDescent="0.25">
      <c r="D1118" s="1"/>
      <c r="E1118" s="1"/>
      <c r="F1118" s="1"/>
    </row>
    <row r="1119" spans="4:6" ht="14.25" customHeight="1" x14ac:dyDescent="0.25">
      <c r="D1119" s="1"/>
      <c r="E1119" s="1"/>
      <c r="F1119" s="1"/>
    </row>
    <row r="1120" spans="4:6" ht="14.25" customHeight="1" x14ac:dyDescent="0.25">
      <c r="D1120" s="1"/>
      <c r="E1120" s="1"/>
      <c r="F1120" s="1"/>
    </row>
    <row r="1121" spans="4:6" ht="14.25" customHeight="1" x14ac:dyDescent="0.25">
      <c r="D1121" s="1"/>
      <c r="E1121" s="1"/>
      <c r="F1121" s="1"/>
    </row>
    <row r="1122" spans="4:6" ht="14.25" customHeight="1" x14ac:dyDescent="0.25">
      <c r="D1122" s="1"/>
      <c r="E1122" s="1"/>
      <c r="F1122" s="1"/>
    </row>
    <row r="1123" spans="4:6" ht="14.25" customHeight="1" x14ac:dyDescent="0.25">
      <c r="D1123" s="1"/>
      <c r="E1123" s="1"/>
      <c r="F1123" s="1"/>
    </row>
    <row r="1124" spans="4:6" ht="14.25" customHeight="1" x14ac:dyDescent="0.25">
      <c r="D1124" s="1"/>
      <c r="E1124" s="1"/>
      <c r="F1124" s="1"/>
    </row>
    <row r="1125" spans="4:6" ht="14.25" customHeight="1" x14ac:dyDescent="0.25">
      <c r="D1125" s="1"/>
      <c r="E1125" s="1"/>
      <c r="F1125" s="1"/>
    </row>
    <row r="1126" spans="4:6" ht="14.25" customHeight="1" x14ac:dyDescent="0.25">
      <c r="D1126" s="1"/>
      <c r="E1126" s="1"/>
      <c r="F1126" s="1"/>
    </row>
    <row r="1127" spans="4:6" ht="14.25" customHeight="1" x14ac:dyDescent="0.25">
      <c r="D1127" s="1"/>
      <c r="E1127" s="1"/>
      <c r="F1127" s="1"/>
    </row>
    <row r="1128" spans="4:6" ht="14.25" customHeight="1" x14ac:dyDescent="0.25">
      <c r="D1128" s="1"/>
      <c r="E1128" s="1"/>
      <c r="F1128" s="1"/>
    </row>
    <row r="1129" spans="4:6" ht="14.25" customHeight="1" x14ac:dyDescent="0.25">
      <c r="D1129" s="1"/>
      <c r="E1129" s="1"/>
      <c r="F1129" s="1"/>
    </row>
    <row r="1130" spans="4:6" ht="14.25" customHeight="1" x14ac:dyDescent="0.25">
      <c r="D1130" s="1"/>
      <c r="E1130" s="1"/>
      <c r="F1130" s="1"/>
    </row>
    <row r="1131" spans="4:6" ht="14.25" customHeight="1" x14ac:dyDescent="0.25">
      <c r="D1131" s="1"/>
      <c r="E1131" s="1"/>
      <c r="F1131" s="1"/>
    </row>
    <row r="1132" spans="4:6" ht="14.25" customHeight="1" x14ac:dyDescent="0.25">
      <c r="D1132" s="1"/>
      <c r="E1132" s="1"/>
      <c r="F1132" s="1"/>
    </row>
    <row r="1133" spans="4:6" ht="14.25" customHeight="1" x14ac:dyDescent="0.25">
      <c r="D1133" s="1"/>
      <c r="E1133" s="1"/>
      <c r="F1133" s="1"/>
    </row>
    <row r="1134" spans="4:6" ht="14.25" customHeight="1" x14ac:dyDescent="0.25">
      <c r="D1134" s="1"/>
      <c r="E1134" s="1"/>
      <c r="F1134" s="1"/>
    </row>
    <row r="1135" spans="4:6" ht="14.25" customHeight="1" x14ac:dyDescent="0.25">
      <c r="D1135" s="1"/>
      <c r="E1135" s="1"/>
      <c r="F1135" s="1"/>
    </row>
    <row r="1136" spans="4:6" ht="14.25" customHeight="1" x14ac:dyDescent="0.25">
      <c r="D1136" s="1"/>
      <c r="E1136" s="1"/>
      <c r="F1136" s="1"/>
    </row>
    <row r="1137" spans="4:6" ht="14.25" customHeight="1" x14ac:dyDescent="0.25">
      <c r="D1137" s="1"/>
      <c r="E1137" s="1"/>
      <c r="F1137" s="1"/>
    </row>
    <row r="1138" spans="4:6" ht="14.25" customHeight="1" x14ac:dyDescent="0.25">
      <c r="D1138" s="1"/>
      <c r="E1138" s="1"/>
      <c r="F1138" s="1"/>
    </row>
    <row r="1139" spans="4:6" ht="14.25" customHeight="1" x14ac:dyDescent="0.25">
      <c r="D1139" s="1"/>
      <c r="E1139" s="1"/>
      <c r="F1139" s="1"/>
    </row>
    <row r="1140" spans="4:6" ht="14.25" customHeight="1" x14ac:dyDescent="0.25">
      <c r="D1140" s="1"/>
      <c r="E1140" s="1"/>
      <c r="F1140" s="1"/>
    </row>
    <row r="1141" spans="4:6" ht="14.25" customHeight="1" x14ac:dyDescent="0.25">
      <c r="D1141" s="1"/>
      <c r="E1141" s="1"/>
      <c r="F1141" s="1"/>
    </row>
    <row r="1142" spans="4:6" ht="14.25" customHeight="1" x14ac:dyDescent="0.25">
      <c r="D1142" s="1"/>
      <c r="E1142" s="1"/>
      <c r="F1142" s="1"/>
    </row>
    <row r="1143" spans="4:6" ht="14.25" customHeight="1" x14ac:dyDescent="0.25">
      <c r="D1143" s="1"/>
      <c r="E1143" s="1"/>
      <c r="F1143" s="1"/>
    </row>
    <row r="1144" spans="4:6" ht="14.25" customHeight="1" x14ac:dyDescent="0.25">
      <c r="D1144" s="1"/>
      <c r="E1144" s="1"/>
      <c r="F1144" s="1"/>
    </row>
    <row r="1145" spans="4:6" ht="14.25" customHeight="1" x14ac:dyDescent="0.25">
      <c r="D1145" s="1"/>
      <c r="E1145" s="1"/>
      <c r="F1145" s="1"/>
    </row>
    <row r="1146" spans="4:6" ht="14.25" customHeight="1" x14ac:dyDescent="0.25">
      <c r="D1146" s="1"/>
      <c r="E1146" s="1"/>
      <c r="F1146" s="1"/>
    </row>
    <row r="1147" spans="4:6" ht="14.25" customHeight="1" x14ac:dyDescent="0.25">
      <c r="D1147" s="1"/>
      <c r="E1147" s="1"/>
      <c r="F1147" s="1"/>
    </row>
    <row r="1148" spans="4:6" ht="14.25" customHeight="1" x14ac:dyDescent="0.25">
      <c r="D1148" s="1"/>
      <c r="E1148" s="1"/>
      <c r="F1148" s="1"/>
    </row>
    <row r="1149" spans="4:6" ht="14.25" customHeight="1" x14ac:dyDescent="0.25">
      <c r="D1149" s="1"/>
      <c r="E1149" s="1"/>
      <c r="F1149" s="1"/>
    </row>
    <row r="1150" spans="4:6" ht="14.25" customHeight="1" x14ac:dyDescent="0.25">
      <c r="D1150" s="1"/>
      <c r="E1150" s="1"/>
      <c r="F1150" s="1"/>
    </row>
    <row r="1151" spans="4:6" ht="14.25" customHeight="1" x14ac:dyDescent="0.25">
      <c r="D1151" s="1"/>
      <c r="E1151" s="1"/>
      <c r="F1151" s="1"/>
    </row>
    <row r="1152" spans="4:6" ht="14.25" customHeight="1" x14ac:dyDescent="0.25">
      <c r="D1152" s="1"/>
      <c r="E1152" s="1"/>
      <c r="F1152" s="1"/>
    </row>
    <row r="1153" spans="4:6" ht="14.25" customHeight="1" x14ac:dyDescent="0.25">
      <c r="D1153" s="1"/>
      <c r="E1153" s="1"/>
      <c r="F1153" s="1"/>
    </row>
    <row r="1154" spans="4:6" ht="14.25" customHeight="1" x14ac:dyDescent="0.25">
      <c r="D1154" s="1"/>
      <c r="E1154" s="1"/>
      <c r="F1154" s="1"/>
    </row>
    <row r="1155" spans="4:6" ht="14.25" customHeight="1" x14ac:dyDescent="0.25">
      <c r="D1155" s="1"/>
      <c r="E1155" s="1"/>
      <c r="F1155" s="1"/>
    </row>
    <row r="1156" spans="4:6" ht="14.25" customHeight="1" x14ac:dyDescent="0.25">
      <c r="D1156" s="1"/>
      <c r="E1156" s="1"/>
      <c r="F1156" s="1"/>
    </row>
    <row r="1157" spans="4:6" ht="14.25" customHeight="1" x14ac:dyDescent="0.25">
      <c r="D1157" s="1"/>
      <c r="E1157" s="1"/>
      <c r="F1157" s="1"/>
    </row>
    <row r="1158" spans="4:6" ht="14.25" customHeight="1" x14ac:dyDescent="0.25">
      <c r="D1158" s="1"/>
      <c r="E1158" s="1"/>
      <c r="F1158" s="1"/>
    </row>
    <row r="1159" spans="4:6" ht="14.25" customHeight="1" x14ac:dyDescent="0.25">
      <c r="D1159" s="1"/>
      <c r="E1159" s="1"/>
      <c r="F1159" s="1"/>
    </row>
    <row r="1160" spans="4:6" ht="14.25" customHeight="1" x14ac:dyDescent="0.25">
      <c r="D1160" s="1"/>
      <c r="E1160" s="1"/>
      <c r="F1160" s="1"/>
    </row>
    <row r="1161" spans="4:6" ht="14.25" customHeight="1" x14ac:dyDescent="0.25">
      <c r="D1161" s="1"/>
      <c r="E1161" s="1"/>
      <c r="F1161" s="1"/>
    </row>
    <row r="1162" spans="4:6" ht="14.25" customHeight="1" x14ac:dyDescent="0.25">
      <c r="D1162" s="1"/>
      <c r="E1162" s="1"/>
      <c r="F1162" s="1"/>
    </row>
    <row r="1163" spans="4:6" ht="14.25" customHeight="1" x14ac:dyDescent="0.25">
      <c r="D1163" s="1"/>
      <c r="E1163" s="1"/>
      <c r="F1163" s="1"/>
    </row>
    <row r="1164" spans="4:6" ht="14.25" customHeight="1" x14ac:dyDescent="0.25">
      <c r="D1164" s="1"/>
      <c r="E1164" s="1"/>
      <c r="F1164" s="1"/>
    </row>
    <row r="1165" spans="4:6" ht="14.25" customHeight="1" x14ac:dyDescent="0.25">
      <c r="D1165" s="1"/>
      <c r="E1165" s="1"/>
      <c r="F1165" s="1"/>
    </row>
    <row r="1166" spans="4:6" ht="14.25" customHeight="1" x14ac:dyDescent="0.25">
      <c r="D1166" s="1"/>
      <c r="E1166" s="1"/>
      <c r="F1166" s="1"/>
    </row>
    <row r="1167" spans="4:6" ht="14.25" customHeight="1" x14ac:dyDescent="0.25">
      <c r="D1167" s="1"/>
      <c r="E1167" s="1"/>
      <c r="F1167" s="1"/>
    </row>
    <row r="1168" spans="4:6" ht="14.25" customHeight="1" x14ac:dyDescent="0.25">
      <c r="D1168" s="1"/>
      <c r="E1168" s="1"/>
      <c r="F1168" s="1"/>
    </row>
    <row r="1169" spans="4:6" ht="14.25" customHeight="1" x14ac:dyDescent="0.25">
      <c r="D1169" s="1"/>
      <c r="E1169" s="1"/>
      <c r="F1169" s="1"/>
    </row>
    <row r="1170" spans="4:6" ht="14.25" customHeight="1" x14ac:dyDescent="0.25">
      <c r="D1170" s="1"/>
      <c r="E1170" s="1"/>
      <c r="F1170" s="1"/>
    </row>
    <row r="1171" spans="4:6" ht="14.25" customHeight="1" x14ac:dyDescent="0.25">
      <c r="D1171" s="1"/>
      <c r="E1171" s="1"/>
      <c r="F1171" s="1"/>
    </row>
    <row r="1172" spans="4:6" ht="14.25" customHeight="1" x14ac:dyDescent="0.25">
      <c r="D1172" s="1"/>
      <c r="E1172" s="1"/>
      <c r="F1172" s="1"/>
    </row>
    <row r="1173" spans="4:6" ht="14.25" customHeight="1" x14ac:dyDescent="0.25">
      <c r="D1173" s="1"/>
      <c r="E1173" s="1"/>
      <c r="F1173" s="1"/>
    </row>
    <row r="1174" spans="4:6" ht="14.25" customHeight="1" x14ac:dyDescent="0.25">
      <c r="D1174" s="1"/>
      <c r="E1174" s="1"/>
      <c r="F1174" s="1"/>
    </row>
    <row r="1175" spans="4:6" ht="14.25" customHeight="1" x14ac:dyDescent="0.25">
      <c r="D1175" s="1"/>
      <c r="E1175" s="1"/>
      <c r="F1175" s="1"/>
    </row>
    <row r="1176" spans="4:6" ht="14.25" customHeight="1" x14ac:dyDescent="0.25">
      <c r="D1176" s="1"/>
      <c r="E1176" s="1"/>
      <c r="F1176" s="1"/>
    </row>
    <row r="1177" spans="4:6" ht="14.25" customHeight="1" x14ac:dyDescent="0.25">
      <c r="D1177" s="1"/>
      <c r="E1177" s="1"/>
      <c r="F1177" s="1"/>
    </row>
    <row r="1178" spans="4:6" ht="14.25" customHeight="1" x14ac:dyDescent="0.25">
      <c r="D1178" s="1"/>
      <c r="E1178" s="1"/>
      <c r="F1178" s="1"/>
    </row>
    <row r="1179" spans="4:6" ht="14.25" customHeight="1" x14ac:dyDescent="0.25">
      <c r="D1179" s="1"/>
      <c r="E1179" s="1"/>
      <c r="F1179" s="1"/>
    </row>
    <row r="1180" spans="4:6" ht="14.25" customHeight="1" x14ac:dyDescent="0.25">
      <c r="D1180" s="1"/>
      <c r="E1180" s="1"/>
      <c r="F1180" s="1"/>
    </row>
    <row r="1181" spans="4:6" ht="14.25" customHeight="1" x14ac:dyDescent="0.25">
      <c r="D1181" s="1"/>
      <c r="E1181" s="1"/>
      <c r="F1181" s="1"/>
    </row>
    <row r="1182" spans="4:6" ht="14.25" customHeight="1" x14ac:dyDescent="0.25">
      <c r="D1182" s="1"/>
      <c r="E1182" s="1"/>
      <c r="F1182" s="1"/>
    </row>
    <row r="1183" spans="4:6" ht="14.25" customHeight="1" x14ac:dyDescent="0.25">
      <c r="D1183" s="1"/>
      <c r="E1183" s="1"/>
      <c r="F1183" s="1"/>
    </row>
    <row r="1184" spans="4:6" ht="14.25" customHeight="1" x14ac:dyDescent="0.25">
      <c r="D1184" s="1"/>
      <c r="E1184" s="1"/>
      <c r="F1184" s="1"/>
    </row>
    <row r="1185" spans="4:6" ht="14.25" customHeight="1" x14ac:dyDescent="0.25">
      <c r="D1185" s="1"/>
      <c r="E1185" s="1"/>
      <c r="F1185" s="1"/>
    </row>
    <row r="1186" spans="4:6" ht="14.25" customHeight="1" x14ac:dyDescent="0.25">
      <c r="D1186" s="1"/>
      <c r="E1186" s="1"/>
      <c r="F1186" s="1"/>
    </row>
    <row r="1187" spans="4:6" ht="14.25" customHeight="1" x14ac:dyDescent="0.25">
      <c r="D1187" s="1"/>
      <c r="E1187" s="1"/>
      <c r="F1187" s="1"/>
    </row>
    <row r="1188" spans="4:6" ht="14.25" customHeight="1" x14ac:dyDescent="0.25">
      <c r="D1188" s="1"/>
      <c r="E1188" s="1"/>
      <c r="F1188" s="1"/>
    </row>
    <row r="1189" spans="4:6" ht="14.25" customHeight="1" x14ac:dyDescent="0.25">
      <c r="D1189" s="1"/>
      <c r="E1189" s="1"/>
      <c r="F1189" s="1"/>
    </row>
    <row r="1190" spans="4:6" ht="14.25" customHeight="1" x14ac:dyDescent="0.25">
      <c r="D1190" s="1"/>
      <c r="E1190" s="1"/>
      <c r="F1190" s="1"/>
    </row>
    <row r="1191" spans="4:6" ht="14.25" customHeight="1" x14ac:dyDescent="0.25">
      <c r="D1191" s="1"/>
      <c r="E1191" s="1"/>
      <c r="F1191" s="1"/>
    </row>
    <row r="1192" spans="4:6" ht="14.25" customHeight="1" x14ac:dyDescent="0.25">
      <c r="D1192" s="1"/>
      <c r="E1192" s="1"/>
      <c r="F1192" s="1"/>
    </row>
    <row r="1193" spans="4:6" ht="14.25" customHeight="1" x14ac:dyDescent="0.25">
      <c r="D1193" s="1"/>
      <c r="E1193" s="1"/>
      <c r="F1193" s="1"/>
    </row>
    <row r="1194" spans="4:6" ht="14.25" customHeight="1" x14ac:dyDescent="0.25">
      <c r="D1194" s="1"/>
      <c r="E1194" s="1"/>
      <c r="F1194" s="1"/>
    </row>
    <row r="1195" spans="4:6" ht="14.25" customHeight="1" x14ac:dyDescent="0.25">
      <c r="D1195" s="1"/>
      <c r="E1195" s="1"/>
      <c r="F1195" s="1"/>
    </row>
    <row r="1196" spans="4:6" ht="14.25" customHeight="1" x14ac:dyDescent="0.25">
      <c r="D1196" s="1"/>
      <c r="E1196" s="1"/>
      <c r="F1196" s="1"/>
    </row>
    <row r="1197" spans="4:6" ht="14.25" customHeight="1" x14ac:dyDescent="0.25">
      <c r="D1197" s="1"/>
      <c r="E1197" s="1"/>
      <c r="F1197" s="1"/>
    </row>
    <row r="1198" spans="4:6" ht="14.25" customHeight="1" x14ac:dyDescent="0.25">
      <c r="D1198" s="1"/>
      <c r="E1198" s="1"/>
      <c r="F1198" s="1"/>
    </row>
    <row r="1199" spans="4:6" ht="14.25" customHeight="1" x14ac:dyDescent="0.25">
      <c r="D1199" s="1"/>
      <c r="E1199" s="1"/>
      <c r="F1199" s="1"/>
    </row>
    <row r="1200" spans="4:6" ht="14.25" customHeight="1" x14ac:dyDescent="0.25">
      <c r="D1200" s="1"/>
      <c r="E1200" s="1"/>
      <c r="F1200" s="1"/>
    </row>
    <row r="1201" spans="4:6" ht="14.25" customHeight="1" x14ac:dyDescent="0.25">
      <c r="D1201" s="1"/>
      <c r="E1201" s="1"/>
      <c r="F1201" s="1"/>
    </row>
    <row r="1202" spans="4:6" ht="14.2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Tips Data (Raw)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pratik gunjal</cp:lastModifiedBy>
  <dcterms:modified xsi:type="dcterms:W3CDTF">2026-09-23T03:56:45Z</dcterms:modified>
</cp:coreProperties>
</file>